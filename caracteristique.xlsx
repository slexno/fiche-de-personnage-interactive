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illian\Documents\JDR\Enceladus\Fiche_de_personage\"/>
    </mc:Choice>
  </mc:AlternateContent>
  <xr:revisionPtr revIDLastSave="0" documentId="13_ncr:1_{DAB682BF-FE40-4A52-87AA-8DAAE802CC8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4" i="1"/>
  <c r="H3" i="1"/>
  <c r="I3" i="1"/>
  <c r="I4" i="1"/>
  <c r="I5" i="1"/>
  <c r="I7" i="1"/>
  <c r="I8" i="1"/>
  <c r="I9" i="1"/>
  <c r="I10" i="1"/>
  <c r="I11" i="1"/>
  <c r="I12" i="1"/>
  <c r="I13" i="1"/>
  <c r="J3" i="1"/>
  <c r="J4" i="1"/>
  <c r="J5" i="1"/>
  <c r="J7" i="1"/>
  <c r="J8" i="1"/>
  <c r="J9" i="1"/>
  <c r="J10" i="1"/>
  <c r="J11" i="1"/>
  <c r="J12" i="1"/>
  <c r="J13" i="1"/>
  <c r="P4" i="1"/>
  <c r="P3" i="1"/>
  <c r="I6" i="1"/>
  <c r="I2" i="1"/>
  <c r="J6" i="1"/>
  <c r="J2" i="1"/>
  <c r="P2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2" i="1"/>
  <c r="F3" i="1"/>
  <c r="F4" i="1"/>
</calcChain>
</file>

<file path=xl/sharedStrings.xml><?xml version="1.0" encoding="utf-8"?>
<sst xmlns="http://schemas.openxmlformats.org/spreadsheetml/2006/main" count="77" uniqueCount="58">
  <si>
    <t>Force</t>
  </si>
  <si>
    <t>Constitution</t>
  </si>
  <si>
    <t>Sagesse</t>
  </si>
  <si>
    <t>Charisme</t>
  </si>
  <si>
    <t>Armement</t>
  </si>
  <si>
    <t>Ciblage</t>
  </si>
  <si>
    <t>Radar</t>
  </si>
  <si>
    <t>EVA</t>
  </si>
  <si>
    <t>Life Support</t>
  </si>
  <si>
    <t>Réparation</t>
  </si>
  <si>
    <t>Programation</t>
  </si>
  <si>
    <t>Persuasion</t>
  </si>
  <si>
    <t>Intimidation</t>
  </si>
  <si>
    <t>Survie</t>
  </si>
  <si>
    <t>Perspicacité</t>
  </si>
  <si>
    <t>Supercherie</t>
  </si>
  <si>
    <t>Discretion</t>
  </si>
  <si>
    <t>Investigation</t>
  </si>
  <si>
    <t>Athlétisme</t>
  </si>
  <si>
    <t>Acrobatie</t>
  </si>
  <si>
    <t>Modificateur</t>
  </si>
  <si>
    <t>Intéligence</t>
  </si>
  <si>
    <t>Dextérité</t>
  </si>
  <si>
    <t>Médecine</t>
  </si>
  <si>
    <t>Bonus</t>
  </si>
  <si>
    <t>Competence</t>
  </si>
  <si>
    <t>Score</t>
  </si>
  <si>
    <t>Statistiques</t>
  </si>
  <si>
    <t>Objet</t>
  </si>
  <si>
    <t>fer à souder</t>
  </si>
  <si>
    <t>Poid (kg)</t>
  </si>
  <si>
    <t>Valeur (en crédit)</t>
  </si>
  <si>
    <t>Equipement</t>
  </si>
  <si>
    <t>pistolet 9mm</t>
  </si>
  <si>
    <t>Range (ft)</t>
  </si>
  <si>
    <t>Hit</t>
  </si>
  <si>
    <t>Spécialisation</t>
  </si>
  <si>
    <t>Armes</t>
  </si>
  <si>
    <t>Damage</t>
  </si>
  <si>
    <t>2d4</t>
  </si>
  <si>
    <t>description</t>
  </si>
  <si>
    <t>Une arme de point vous permetant de tirer 1 fois par tour pendant 6 tours, au 6eme tour une action est requise pour recharger. Lors d'un critique vous rajoute 1d4 de dégat.</t>
  </si>
  <si>
    <t>Balles de 9mm</t>
  </si>
  <si>
    <t>Quantité</t>
  </si>
  <si>
    <t>poid unitaire (kg)</t>
  </si>
  <si>
    <t>Prix unitaire (en crédit)</t>
  </si>
  <si>
    <t>kanife</t>
  </si>
  <si>
    <t>1d6</t>
  </si>
  <si>
    <t>un kanife quoi serieux. Si critique double les dégats,</t>
  </si>
  <si>
    <t>poings</t>
  </si>
  <si>
    <t>1d4</t>
  </si>
  <si>
    <t>hei ya kunt watarya saying about ma mom. En cas de critique rajoute 1d4</t>
  </si>
  <si>
    <t>Armor class</t>
  </si>
  <si>
    <t>effet(optionel)</t>
  </si>
  <si>
    <t>Habit de travailleur</t>
  </si>
  <si>
    <t>vous rend completement invisible parmis la plebe mais dé que vous allez dans un quartier riche vous etes instantanément fliqué</t>
  </si>
  <si>
    <t>habit de travailleur dévoué à son entreprise et prenant à cœur les valeurs de l'entreprise et de l'entraide, remerciez vos patrons de vous l'avoir offert</t>
  </si>
  <si>
    <t>Crédit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</si>
</sst>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NumberFormat="1"/>
  </cellXfs>
  <cellStyles count="1">
    <cellStyle name="Normal" xfId="0" builtinId="0"/>
  </cellStyles>
  <dxfs count="5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3B8BEB-7E19-4BAB-9C28-53E9F653D5C7}" name="Tableau1" displayName="Tableau1" ref="A1:C7" totalsRowShown="0">
  <autoFilter ref="A1:C7" xr:uid="{5F3B8BEB-7E19-4BAB-9C28-53E9F653D5C7}"/>
  <tableColumns count="3">
    <tableColumn id="1" xr3:uid="{F0864310-66ED-45A3-93C4-E7913F7FE066}" name="Statistiques"/>
    <tableColumn id="2" xr3:uid="{00299C32-5684-4949-9442-C37E13209569}" name="Score"/>
    <tableColumn id="3" xr3:uid="{E6B9FFBE-B352-4B09-98B1-E13903AE4111}" name="Bonu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525ADC-D824-466A-B39E-3A8C9C6A248C}" name="Tableau2" displayName="Tableau2" ref="D1:G18" totalsRowShown="0">
  <autoFilter ref="D1:G18" xr:uid="{CB525ADC-D824-466A-B39E-3A8C9C6A248C}"/>
  <tableColumns count="4">
    <tableColumn id="1" xr3:uid="{89BD1663-629A-40C4-BB4E-54F05DB62B98}" name="Competence"/>
    <tableColumn id="2" xr3:uid="{085DAF56-EF2D-4B1A-9432-3F474B6A94BC}" name="Modificateur"/>
    <tableColumn id="3" xr3:uid="{13560C0E-B808-47FF-A79F-341C8F6B3C80}" name="Bonus" dataDxfId="4">
      <calculatedColumnFormula>Tableau2[[#This Row],[Spécialisation]]*2+C3</calculatedColumnFormula>
    </tableColumn>
    <tableColumn id="4" xr3:uid="{F5847039-93F4-4463-AC94-EE4A9545C770}" name="Spécialisation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FDB5C6-B56E-4825-A40C-2ED6D68AE07F}" name="Tableau3" displayName="Tableau3" ref="H1:M13" totalsRowShown="0">
  <autoFilter ref="H1:M13" xr:uid="{FBFDB5C6-B56E-4825-A40C-2ED6D68AE07F}"/>
  <tableColumns count="6">
    <tableColumn id="1" xr3:uid="{2E61CDF0-8050-47AE-A3C7-9AB27B8011E3}" name="Objet"/>
    <tableColumn id="2" xr3:uid="{D237C7AC-DCE8-47CF-87CE-05AAD60EB287}" name="Valeur (en crédit)" dataDxfId="3">
      <calculatedColumnFormula>Tableau3[[#This Row],[Quantité]]*Tableau3[[#This Row],[Prix unitaire (en crédit)]]</calculatedColumnFormula>
    </tableColumn>
    <tableColumn id="3" xr3:uid="{30F76DC0-9034-4953-A9DA-5551EA4AE025}" name="Poid (kg)" dataDxfId="2">
      <calculatedColumnFormula>Tableau3[[#This Row],[Quantité]]*Tableau3[[#This Row],[poid unitaire (kg)]]</calculatedColumnFormula>
    </tableColumn>
    <tableColumn id="4" xr3:uid="{54E3D62F-D77F-4AB3-926C-BA0F6C626885}" name="poid unitaire (kg)"/>
    <tableColumn id="5" xr3:uid="{F721F364-4E99-4FE6-A141-C27A2C69D980}" name="Quantité"/>
    <tableColumn id="6" xr3:uid="{F576C1A2-956C-405C-8CBD-BB637B7D1210}" name="Prix unitaire (en crédit)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C1B802-A46B-4745-B044-CD82F4352BA5}" name="Tableau4" displayName="Tableau4" ref="N1:R4" totalsRowShown="0">
  <autoFilter ref="N1:R4" xr:uid="{D7C1B802-A46B-4745-B044-CD82F4352BA5}"/>
  <tableColumns count="5">
    <tableColumn id="1" xr3:uid="{DCF86FE9-9C23-4D02-9CDA-DF220201CC5D}" name="Armes"/>
    <tableColumn id="2" xr3:uid="{ACFE718D-7442-4CA2-9716-9A35C2D84C41}" name="Range (ft)"/>
    <tableColumn id="3" xr3:uid="{92F190B5-4D0F-4430-A9EB-C029BA2ABCB6}" name="Hit"/>
    <tableColumn id="4" xr3:uid="{673EB653-78A3-44E1-9E1B-7F3369F4EED8}" name="Damage"/>
    <tableColumn id="5" xr3:uid="{699C8757-0E90-4991-A110-945643A02473}" name="description"/>
  </tableColumns>
  <tableStyleInfo name="TableStyleDark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2455685-722B-4008-B161-44B353559A96}" name="Tableau5" displayName="Tableau5" ref="S1:V2" totalsRowShown="0">
  <autoFilter ref="S1:V2" xr:uid="{C2455685-722B-4008-B161-44B353559A96}"/>
  <tableColumns count="4">
    <tableColumn id="1" xr3:uid="{A4C1B411-9916-44FD-AACB-FF5503E38514}" name="Equipement"/>
    <tableColumn id="2" xr3:uid="{BE47D5EB-BC84-48DE-A740-6EEF4C78E6C3}" name="Armor class"/>
    <tableColumn id="3" xr3:uid="{2A8E3494-7DC0-44E0-9A5A-118947B824E1}" name="effet(optionel)" dataDxfId="1"/>
    <tableColumn id="4" xr3:uid="{EA2D1287-A12E-4A3F-A376-F5A78BB3DE5E}" name="description" dataDxfId="0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"/>
  <sheetViews>
    <sheetView tabSelected="1" zoomScale="70" zoomScaleNormal="70" workbookViewId="0">
      <selection activeCell="B13" sqref="B13"/>
    </sheetView>
  </sheetViews>
  <sheetFormatPr baseColWidth="10" defaultColWidth="9.140625" defaultRowHeight="15" x14ac:dyDescent="0.25"/>
  <cols>
    <col min="1" max="1" width="20.28515625" customWidth="1"/>
    <col min="2" max="2" width="23.28515625" customWidth="1"/>
    <col min="3" max="3" width="18.5703125" customWidth="1"/>
    <col min="4" max="4" width="20.140625" customWidth="1"/>
    <col min="5" max="5" width="18.7109375" customWidth="1"/>
    <col min="6" max="6" width="13.28515625" customWidth="1"/>
    <col min="7" max="7" width="17.7109375" customWidth="1"/>
    <col min="8" max="8" width="15.42578125" customWidth="1"/>
    <col min="9" max="9" width="20.85546875" customWidth="1"/>
    <col min="10" max="10" width="20.42578125" customWidth="1"/>
    <col min="11" max="11" width="23.85546875" customWidth="1"/>
    <col min="12" max="12" width="16.42578125" customWidth="1"/>
    <col min="13" max="13" width="18.28515625" customWidth="1"/>
    <col min="14" max="14" width="25.85546875" customWidth="1"/>
    <col min="15" max="15" width="21.5703125" customWidth="1"/>
    <col min="16" max="16" width="13.7109375" customWidth="1"/>
    <col min="17" max="17" width="10.28515625" customWidth="1"/>
    <col min="18" max="18" width="36.140625" customWidth="1"/>
    <col min="19" max="19" width="20.5703125" customWidth="1"/>
    <col min="20" max="20" width="26.85546875" customWidth="1"/>
    <col min="21" max="21" width="27" customWidth="1"/>
    <col min="22" max="22" width="31.5703125" customWidth="1"/>
    <col min="23" max="23" width="32.42578125" customWidth="1"/>
    <col min="24" max="24" width="26.42578125" customWidth="1"/>
  </cols>
  <sheetData>
    <row r="1" spans="1:22" x14ac:dyDescent="0.25">
      <c r="A1" t="s">
        <v>27</v>
      </c>
      <c r="B1" t="s">
        <v>26</v>
      </c>
      <c r="C1" t="s">
        <v>24</v>
      </c>
      <c r="D1" t="s">
        <v>25</v>
      </c>
      <c r="E1" t="s">
        <v>20</v>
      </c>
      <c r="F1" t="s">
        <v>24</v>
      </c>
      <c r="G1" t="s">
        <v>36</v>
      </c>
      <c r="H1" t="s">
        <v>28</v>
      </c>
      <c r="I1" t="s">
        <v>31</v>
      </c>
      <c r="J1" t="s">
        <v>30</v>
      </c>
      <c r="K1" t="s">
        <v>44</v>
      </c>
      <c r="L1" t="s">
        <v>43</v>
      </c>
      <c r="M1" t="s">
        <v>45</v>
      </c>
      <c r="N1" t="s">
        <v>37</v>
      </c>
      <c r="O1" t="s">
        <v>34</v>
      </c>
      <c r="P1" t="s">
        <v>35</v>
      </c>
      <c r="Q1" t="s">
        <v>38</v>
      </c>
      <c r="R1" t="s">
        <v>40</v>
      </c>
      <c r="S1" t="s">
        <v>32</v>
      </c>
      <c r="T1" t="s">
        <v>52</v>
      </c>
      <c r="U1" t="s">
        <v>53</v>
      </c>
      <c r="V1" t="s">
        <v>40</v>
      </c>
    </row>
    <row r="2" spans="1:22" ht="93.75" customHeight="1" x14ac:dyDescent="0.25">
      <c r="A2" t="s">
        <v>0</v>
      </c>
      <c r="B2">
        <v>15</v>
      </c>
      <c r="C2">
        <v>2</v>
      </c>
      <c r="D2" t="s">
        <v>4</v>
      </c>
      <c r="E2" t="s">
        <v>21</v>
      </c>
      <c r="F2">
        <f>Tableau2[[#This Row],[Spécialisation]]*2+C3</f>
        <v>5</v>
      </c>
      <c r="G2">
        <v>1</v>
      </c>
      <c r="H2" t="s">
        <v>42</v>
      </c>
      <c r="I2">
        <f>Tableau3[[#This Row],[Quantité]]*Tableau3[[#This Row],[Prix unitaire (en crédit)]]</f>
        <v>30</v>
      </c>
      <c r="J2">
        <f>Tableau3[[#This Row],[Quantité]]*Tableau3[[#This Row],[poid unitaire (kg)]]</f>
        <v>6</v>
      </c>
      <c r="K2">
        <v>0.1</v>
      </c>
      <c r="L2">
        <v>60</v>
      </c>
      <c r="M2">
        <v>0.5</v>
      </c>
      <c r="N2" t="s">
        <v>33</v>
      </c>
      <c r="O2">
        <v>150</v>
      </c>
      <c r="P2">
        <f>C3</f>
        <v>3</v>
      </c>
      <c r="Q2" t="s">
        <v>39</v>
      </c>
      <c r="R2" s="1" t="s">
        <v>41</v>
      </c>
      <c r="S2" t="s">
        <v>54</v>
      </c>
      <c r="T2">
        <v>10</v>
      </c>
      <c r="U2" s="1" t="s">
        <v>55</v>
      </c>
      <c r="V2" s="1" t="s">
        <v>56</v>
      </c>
    </row>
    <row r="3" spans="1:22" ht="30" x14ac:dyDescent="0.25">
      <c r="A3" t="s">
        <v>22</v>
      </c>
      <c r="B3">
        <v>17</v>
      </c>
      <c r="C3">
        <v>3</v>
      </c>
      <c r="D3" t="s">
        <v>5</v>
      </c>
      <c r="E3" t="s">
        <v>21</v>
      </c>
      <c r="F3">
        <f>Tableau2[[#This Row],[Spécialisation]]*2+C4</f>
        <v>2</v>
      </c>
      <c r="G3">
        <v>1</v>
      </c>
      <c r="H3" t="str">
        <f>N2</f>
        <v>pistolet 9mm</v>
      </c>
      <c r="I3" s="2">
        <f>Tableau3[[#This Row],[Quantité]]*Tableau3[[#This Row],[Prix unitaire (en crédit)]]</f>
        <v>35</v>
      </c>
      <c r="J3" s="2">
        <f>Tableau3[[#This Row],[Quantité]]*Tableau3[[#This Row],[poid unitaire (kg)]]</f>
        <v>1.5</v>
      </c>
      <c r="K3">
        <v>1.5</v>
      </c>
      <c r="L3">
        <v>1</v>
      </c>
      <c r="M3">
        <v>35</v>
      </c>
      <c r="N3" t="s">
        <v>46</v>
      </c>
      <c r="O3">
        <v>5</v>
      </c>
      <c r="P3">
        <f>C2</f>
        <v>2</v>
      </c>
      <c r="Q3" t="s">
        <v>47</v>
      </c>
      <c r="R3" s="1" t="s">
        <v>48</v>
      </c>
    </row>
    <row r="4" spans="1:22" ht="30" x14ac:dyDescent="0.25">
      <c r="A4" t="s">
        <v>1</v>
      </c>
      <c r="B4">
        <v>11</v>
      </c>
      <c r="C4">
        <v>0</v>
      </c>
      <c r="D4" t="s">
        <v>6</v>
      </c>
      <c r="E4" t="s">
        <v>21</v>
      </c>
      <c r="F4">
        <f>Tableau2[[#This Row],[Spécialisation]]*2+C5</f>
        <v>3</v>
      </c>
      <c r="G4">
        <v>0</v>
      </c>
      <c r="H4" t="str">
        <f>N3</f>
        <v>kanife</v>
      </c>
      <c r="I4" s="2">
        <f>Tableau3[[#This Row],[Quantité]]*Tableau3[[#This Row],[Prix unitaire (en crédit)]]</f>
        <v>10</v>
      </c>
      <c r="J4" s="2">
        <f>Tableau3[[#This Row],[Quantité]]*Tableau3[[#This Row],[poid unitaire (kg)]]</f>
        <v>0.5</v>
      </c>
      <c r="K4">
        <v>0.5</v>
      </c>
      <c r="L4">
        <v>1</v>
      </c>
      <c r="M4">
        <v>10</v>
      </c>
      <c r="N4" t="s">
        <v>49</v>
      </c>
      <c r="O4">
        <v>5</v>
      </c>
      <c r="P4">
        <f>C2</f>
        <v>2</v>
      </c>
      <c r="Q4" t="s">
        <v>50</v>
      </c>
      <c r="R4" s="1" t="s">
        <v>51</v>
      </c>
    </row>
    <row r="5" spans="1:22" x14ac:dyDescent="0.25">
      <c r="A5" t="s">
        <v>21</v>
      </c>
      <c r="B5">
        <v>17</v>
      </c>
      <c r="C5">
        <v>3</v>
      </c>
      <c r="D5" t="s">
        <v>7</v>
      </c>
      <c r="E5" t="s">
        <v>22</v>
      </c>
      <c r="F5">
        <f>Tableau2[[#This Row],[Spécialisation]]*2+C3</f>
        <v>3</v>
      </c>
      <c r="G5">
        <v>0</v>
      </c>
      <c r="H5" t="str">
        <f>S2</f>
        <v>Habit de travailleur</v>
      </c>
      <c r="I5" s="2">
        <f>Tableau3[[#This Row],[Quantité]]*Tableau3[[#This Row],[Prix unitaire (en crédit)]]</f>
        <v>5</v>
      </c>
      <c r="J5" s="2">
        <f>Tableau3[[#This Row],[Quantité]]*Tableau3[[#This Row],[poid unitaire (kg)]]</f>
        <v>0.8</v>
      </c>
      <c r="K5">
        <v>0.8</v>
      </c>
      <c r="L5">
        <v>1</v>
      </c>
      <c r="M5">
        <v>5</v>
      </c>
    </row>
    <row r="6" spans="1:22" x14ac:dyDescent="0.25">
      <c r="A6" t="s">
        <v>2</v>
      </c>
      <c r="B6">
        <v>9</v>
      </c>
      <c r="C6">
        <v>-1</v>
      </c>
      <c r="D6" t="s">
        <v>8</v>
      </c>
      <c r="E6" t="s">
        <v>2</v>
      </c>
      <c r="F6">
        <f>Tableau2[[#This Row],[Spécialisation]]*2+C6</f>
        <v>-1</v>
      </c>
      <c r="G6">
        <v>0</v>
      </c>
      <c r="H6" t="s">
        <v>29</v>
      </c>
      <c r="I6">
        <f>Tableau3[[#This Row],[Quantité]]*Tableau3[[#This Row],[Prix unitaire (en crédit)]]</f>
        <v>25</v>
      </c>
      <c r="J6">
        <f>Tableau3[[#This Row],[Quantité]]*Tableau3[[#This Row],[poid unitaire (kg)]]</f>
        <v>1</v>
      </c>
      <c r="K6">
        <v>1</v>
      </c>
      <c r="L6">
        <v>1</v>
      </c>
      <c r="M6">
        <v>25</v>
      </c>
    </row>
    <row r="7" spans="1:22" x14ac:dyDescent="0.25">
      <c r="A7" t="s">
        <v>3</v>
      </c>
      <c r="B7">
        <v>15</v>
      </c>
      <c r="C7">
        <v>2</v>
      </c>
      <c r="D7" t="s">
        <v>23</v>
      </c>
      <c r="E7" t="s">
        <v>2</v>
      </c>
      <c r="F7">
        <f>Tableau2[[#This Row],[Spécialisation]]*2+C6</f>
        <v>-1</v>
      </c>
      <c r="G7">
        <v>0</v>
      </c>
      <c r="H7" t="s">
        <v>57</v>
      </c>
      <c r="I7" s="2">
        <f>Tableau3[[#This Row],[Quantité]]*Tableau3[[#This Row],[Prix unitaire (en crédit)]]</f>
        <v>100</v>
      </c>
      <c r="J7" s="2">
        <f>Tableau3[[#This Row],[Quantité]]*Tableau3[[#This Row],[poid unitaire (kg)]]</f>
        <v>0</v>
      </c>
      <c r="K7">
        <v>0</v>
      </c>
      <c r="L7">
        <v>100</v>
      </c>
      <c r="M7">
        <v>1</v>
      </c>
    </row>
    <row r="8" spans="1:22" x14ac:dyDescent="0.25">
      <c r="D8" t="s">
        <v>9</v>
      </c>
      <c r="E8" t="s">
        <v>22</v>
      </c>
      <c r="F8">
        <f>Tableau2[[#This Row],[Spécialisation]]*2+C3</f>
        <v>5</v>
      </c>
      <c r="G8">
        <v>1</v>
      </c>
      <c r="I8" s="2">
        <f>Tableau3[[#This Row],[Quantité]]*Tableau3[[#This Row],[Prix unitaire (en crédit)]]</f>
        <v>0</v>
      </c>
      <c r="J8" s="2">
        <f>Tableau3[[#This Row],[Quantité]]*Tableau3[[#This Row],[poid unitaire (kg)]]</f>
        <v>0</v>
      </c>
    </row>
    <row r="9" spans="1:22" x14ac:dyDescent="0.25">
      <c r="D9" t="s">
        <v>10</v>
      </c>
      <c r="E9" t="s">
        <v>21</v>
      </c>
      <c r="F9">
        <f>Tableau2[[#This Row],[Spécialisation]]*2+C5</f>
        <v>3</v>
      </c>
      <c r="G9">
        <v>0</v>
      </c>
      <c r="I9" s="2">
        <f>Tableau3[[#This Row],[Quantité]]*Tableau3[[#This Row],[Prix unitaire (en crédit)]]</f>
        <v>0</v>
      </c>
      <c r="J9" s="2">
        <f>Tableau3[[#This Row],[Quantité]]*Tableau3[[#This Row],[poid unitaire (kg)]]</f>
        <v>0</v>
      </c>
    </row>
    <row r="10" spans="1:22" x14ac:dyDescent="0.25">
      <c r="D10" t="s">
        <v>11</v>
      </c>
      <c r="E10" t="s">
        <v>3</v>
      </c>
      <c r="F10">
        <f>Tableau2[[#This Row],[Spécialisation]]*2+C7</f>
        <v>4</v>
      </c>
      <c r="G10">
        <v>1</v>
      </c>
      <c r="I10" s="2">
        <f>Tableau3[[#This Row],[Quantité]]*Tableau3[[#This Row],[Prix unitaire (en crédit)]]</f>
        <v>0</v>
      </c>
      <c r="J10" s="2">
        <f>Tableau3[[#This Row],[Quantité]]*Tableau3[[#This Row],[poid unitaire (kg)]]</f>
        <v>0</v>
      </c>
    </row>
    <row r="11" spans="1:22" x14ac:dyDescent="0.25">
      <c r="D11" t="s">
        <v>12</v>
      </c>
      <c r="E11" t="s">
        <v>3</v>
      </c>
      <c r="F11">
        <f>Tableau2[[#This Row],[Spécialisation]]*2+C7</f>
        <v>2</v>
      </c>
      <c r="G11">
        <v>0</v>
      </c>
      <c r="I11" s="2">
        <f>Tableau3[[#This Row],[Quantité]]*Tableau3[[#This Row],[Prix unitaire (en crédit)]]</f>
        <v>0</v>
      </c>
      <c r="J11" s="2">
        <f>Tableau3[[#This Row],[Quantité]]*Tableau3[[#This Row],[poid unitaire (kg)]]</f>
        <v>0</v>
      </c>
    </row>
    <row r="12" spans="1:22" x14ac:dyDescent="0.25">
      <c r="D12" t="s">
        <v>13</v>
      </c>
      <c r="E12" t="s">
        <v>2</v>
      </c>
      <c r="F12">
        <f>Tableau2[[#This Row],[Spécialisation]]*2+C6</f>
        <v>-1</v>
      </c>
      <c r="G12">
        <v>0</v>
      </c>
      <c r="I12" s="2">
        <f>Tableau3[[#This Row],[Quantité]]*Tableau3[[#This Row],[Prix unitaire (en crédit)]]</f>
        <v>0</v>
      </c>
      <c r="J12" s="2">
        <f>Tableau3[[#This Row],[Quantité]]*Tableau3[[#This Row],[poid unitaire (kg)]]</f>
        <v>0</v>
      </c>
    </row>
    <row r="13" spans="1:22" x14ac:dyDescent="0.25">
      <c r="D13" t="s">
        <v>14</v>
      </c>
      <c r="E13" t="s">
        <v>21</v>
      </c>
      <c r="F13">
        <f>Tableau2[[#This Row],[Spécialisation]]*2+C5</f>
        <v>3</v>
      </c>
      <c r="G13">
        <v>0</v>
      </c>
      <c r="I13" s="2">
        <f>Tableau3[[#This Row],[Quantité]]*Tableau3[[#This Row],[Prix unitaire (en crédit)]]</f>
        <v>0</v>
      </c>
      <c r="J13" s="2">
        <f>Tableau3[[#This Row],[Quantité]]*Tableau3[[#This Row],[poid unitaire (kg)]]</f>
        <v>0</v>
      </c>
    </row>
    <row r="14" spans="1:22" x14ac:dyDescent="0.25">
      <c r="D14" t="s">
        <v>15</v>
      </c>
      <c r="E14" t="s">
        <v>3</v>
      </c>
      <c r="F14">
        <f>Tableau2[[#This Row],[Spécialisation]]*2+C7</f>
        <v>2</v>
      </c>
      <c r="G14">
        <v>0</v>
      </c>
    </row>
    <row r="15" spans="1:22" x14ac:dyDescent="0.25">
      <c r="D15" t="s">
        <v>17</v>
      </c>
      <c r="E15" t="s">
        <v>2</v>
      </c>
      <c r="F15">
        <f>Tableau2[[#This Row],[Spécialisation]]*2+C6</f>
        <v>-1</v>
      </c>
      <c r="G15">
        <v>0</v>
      </c>
    </row>
    <row r="16" spans="1:22" x14ac:dyDescent="0.25">
      <c r="D16" t="s">
        <v>16</v>
      </c>
      <c r="E16" t="s">
        <v>22</v>
      </c>
      <c r="F16">
        <f>Tableau2[[#This Row],[Spécialisation]]*2+C3</f>
        <v>3</v>
      </c>
      <c r="G16">
        <v>0</v>
      </c>
    </row>
    <row r="17" spans="4:7" x14ac:dyDescent="0.25">
      <c r="D17" t="s">
        <v>18</v>
      </c>
      <c r="E17" t="s">
        <v>0</v>
      </c>
      <c r="F17">
        <f>Tableau2[[#This Row],[Spécialisation]]*2+C2</f>
        <v>2</v>
      </c>
      <c r="G17">
        <v>0</v>
      </c>
    </row>
    <row r="18" spans="4:7" x14ac:dyDescent="0.25">
      <c r="D18" t="s">
        <v>19</v>
      </c>
      <c r="E18" t="s">
        <v>0</v>
      </c>
      <c r="F18">
        <f>Tableau2[[#This Row],[Spécialisation]]*2+C2</f>
        <v>2</v>
      </c>
      <c r="G18">
        <v>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</dc:creator>
  <cp:lastModifiedBy>Killian Belloc</cp:lastModifiedBy>
  <dcterms:created xsi:type="dcterms:W3CDTF">2015-06-05T18:19:34Z</dcterms:created>
  <dcterms:modified xsi:type="dcterms:W3CDTF">2026-02-14T21:11:34Z</dcterms:modified>
</cp:coreProperties>
</file>