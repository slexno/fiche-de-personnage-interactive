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illian\Documents\JDR\Enceladus\Fiche_de_personage\"/>
    </mc:Choice>
  </mc:AlternateContent>
  <xr:revisionPtr revIDLastSave="0" documentId="13_ncr:1_{2BA0CDB7-41EA-4B89-B43F-82258E606B2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<sst xmlns="http://schemas.openxmlformats.org/spreadsheetml/2006/main" count="47" uniqueCount="29">
  <si>
    <t>Force</t>
  </si>
  <si>
    <t>Constitution</t>
  </si>
  <si>
    <t>Sagesse</t>
  </si>
  <si>
    <t>Charisme</t>
  </si>
  <si>
    <t>Armement</t>
  </si>
  <si>
    <t>Ciblage</t>
  </si>
  <si>
    <t>Radar</t>
  </si>
  <si>
    <t>EVA</t>
  </si>
  <si>
    <t>Life Support</t>
  </si>
  <si>
    <t>Réparation</t>
  </si>
  <si>
    <t>Programation</t>
  </si>
  <si>
    <t>Persuasion</t>
  </si>
  <si>
    <t>Intimidation</t>
  </si>
  <si>
    <t>Survie</t>
  </si>
  <si>
    <t>Perspicacité</t>
  </si>
  <si>
    <t>Supercherie</t>
  </si>
  <si>
    <t>Discretion</t>
  </si>
  <si>
    <t>Investigation</t>
  </si>
  <si>
    <t>Athlétisme</t>
  </si>
  <si>
    <t>Acrobatie</t>
  </si>
  <si>
    <t>Modificateur</t>
  </si>
  <si>
    <t>Intéligence</t>
  </si>
  <si>
    <t>Dextérité</t>
  </si>
  <si>
    <t>Médecine</t>
  </si>
  <si>
    <t>Bonus</t>
  </si>
  <si>
    <t>Competence</t>
  </si>
  <si>
    <t>Score</t>
  </si>
  <si>
    <t>Statistiques</t>
  </si>
  <si>
    <t>Spécialisation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</si>
</sst>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3B8BEB-7E19-4BAB-9C28-53E9F653D5C7}" name="Tableau1" displayName="Tableau1" ref="A1:C7" totalsRowShown="0">
  <autoFilter ref="A1:C7" xr:uid="{5F3B8BEB-7E19-4BAB-9C28-53E9F653D5C7}"/>
  <tableColumns count="3">
    <tableColumn id="1" xr3:uid="{F0864310-66ED-45A3-93C4-E7913F7FE066}" name="Statistiques"/>
    <tableColumn id="2" xr3:uid="{00299C32-5684-4949-9442-C37E13209569}" name="Score"/>
    <tableColumn id="3" xr3:uid="{E6B9FFBE-B352-4B09-98B1-E13903AE4111}" name="Bonu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525ADC-D824-466A-B39E-3A8C9C6A248C}" name="Tableau2" displayName="Tableau2" ref="D1:G18" totalsRowShown="0">
  <autoFilter ref="D1:G18" xr:uid="{CB525ADC-D824-466A-B39E-3A8C9C6A248C}"/>
  <tableColumns count="4">
    <tableColumn id="1" xr3:uid="{89BD1663-629A-40C4-BB4E-54F05DB62B98}" name="Competence"/>
    <tableColumn id="2" xr3:uid="{085DAF56-EF2D-4B1A-9432-3F474B6A94BC}" name="Modificateur"/>
    <tableColumn id="3" xr3:uid="{13560C0E-B808-47FF-A79F-341C8F6B3C80}" name="Bonus" dataDxfId="0">
      <calculatedColumnFormula>Tableau2[[#This Row],[Spécialisation]]*2+C3</calculatedColumnFormula>
    </tableColumn>
    <tableColumn id="4" xr3:uid="{F5847039-93F4-4463-AC94-EE4A9545C770}" name="Spécialisation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zoomScale="130" zoomScaleNormal="130" workbookViewId="0">
      <selection activeCell="G22" sqref="G22"/>
    </sheetView>
  </sheetViews>
  <sheetFormatPr baseColWidth="10" defaultColWidth="9.140625" defaultRowHeight="15" x14ac:dyDescent="0.25"/>
  <cols>
    <col min="1" max="1" width="20.28515625" customWidth="1"/>
    <col min="2" max="2" width="23.28515625" customWidth="1"/>
    <col min="3" max="3" width="18.5703125" customWidth="1"/>
    <col min="4" max="4" width="20.140625" customWidth="1"/>
    <col min="5" max="5" width="18.7109375" customWidth="1"/>
    <col min="6" max="6" width="13.28515625" customWidth="1"/>
    <col min="7" max="7" width="17.7109375" customWidth="1"/>
    <col min="8" max="8" width="15.42578125" customWidth="1"/>
    <col min="9" max="9" width="20.85546875" customWidth="1"/>
    <col min="10" max="10" width="20.42578125" customWidth="1"/>
    <col min="11" max="11" width="23.85546875" customWidth="1"/>
    <col min="12" max="12" width="16.42578125" customWidth="1"/>
    <col min="13" max="13" width="18.28515625" customWidth="1"/>
    <col min="14" max="14" width="25.85546875" customWidth="1"/>
    <col min="15" max="15" width="21.5703125" customWidth="1"/>
    <col min="16" max="16" width="13.7109375" customWidth="1"/>
    <col min="17" max="17" width="10.28515625" customWidth="1"/>
    <col min="18" max="18" width="36.140625" customWidth="1"/>
    <col min="19" max="19" width="20.5703125" customWidth="1"/>
    <col min="20" max="20" width="26.85546875" customWidth="1"/>
    <col min="21" max="21" width="27" customWidth="1"/>
    <col min="22" max="22" width="31.5703125" customWidth="1"/>
    <col min="23" max="23" width="32.42578125" customWidth="1"/>
    <col min="24" max="24" width="26.42578125" customWidth="1"/>
  </cols>
  <sheetData>
    <row r="1" spans="1:7" x14ac:dyDescent="0.25">
      <c r="A1" t="s">
        <v>27</v>
      </c>
      <c r="B1" t="s">
        <v>26</v>
      </c>
      <c r="C1" t="s">
        <v>24</v>
      </c>
      <c r="D1" t="s">
        <v>25</v>
      </c>
      <c r="E1" t="s">
        <v>20</v>
      </c>
      <c r="F1" t="s">
        <v>24</v>
      </c>
      <c r="G1" t="s">
        <v>28</v>
      </c>
    </row>
    <row r="2" spans="1:7" ht="17.25" customHeight="1" x14ac:dyDescent="0.25">
      <c r="A2" t="s">
        <v>0</v>
      </c>
      <c r="B2">
        <v>15</v>
      </c>
      <c r="C2">
        <v>2</v>
      </c>
      <c r="D2" t="s">
        <v>4</v>
      </c>
      <c r="E2" t="s">
        <v>21</v>
      </c>
      <c r="F2">
        <f>Tableau2[[#This Row],[Spécialisation]]*2+C5</f>
        <v>5</v>
      </c>
      <c r="G2">
        <v>1</v>
      </c>
    </row>
    <row r="3" spans="1:7" x14ac:dyDescent="0.25">
      <c r="A3" t="s">
        <v>22</v>
      </c>
      <c r="B3">
        <v>17</v>
      </c>
      <c r="C3">
        <v>3</v>
      </c>
      <c r="D3" t="s">
        <v>5</v>
      </c>
      <c r="E3" t="s">
        <v>21</v>
      </c>
      <c r="F3">
        <f>Tableau2[[#This Row],[Spécialisation]]*2+C5</f>
        <v>5</v>
      </c>
      <c r="G3">
        <v>1</v>
      </c>
    </row>
    <row r="4" spans="1:7" x14ac:dyDescent="0.25">
      <c r="A4" t="s">
        <v>1</v>
      </c>
      <c r="B4">
        <v>11</v>
      </c>
      <c r="C4">
        <v>0</v>
      </c>
      <c r="D4" t="s">
        <v>6</v>
      </c>
      <c r="E4" t="s">
        <v>21</v>
      </c>
      <c r="F4">
        <f>Tableau2[[#This Row],[Spécialisation]]*2+C5</f>
        <v>3</v>
      </c>
      <c r="G4">
        <v>0</v>
      </c>
    </row>
    <row r="5" spans="1:7" x14ac:dyDescent="0.25">
      <c r="A5" t="s">
        <v>21</v>
      </c>
      <c r="B5">
        <v>17</v>
      </c>
      <c r="C5">
        <v>3</v>
      </c>
      <c r="D5" t="s">
        <v>7</v>
      </c>
      <c r="E5" t="s">
        <v>22</v>
      </c>
      <c r="F5">
        <f>Tableau2[[#This Row],[Spécialisation]]*2+C3</f>
        <v>3</v>
      </c>
      <c r="G5">
        <v>0</v>
      </c>
    </row>
    <row r="6" spans="1:7" x14ac:dyDescent="0.25">
      <c r="A6" t="s">
        <v>2</v>
      </c>
      <c r="B6">
        <v>9</v>
      </c>
      <c r="C6">
        <v>-1</v>
      </c>
      <c r="D6" t="s">
        <v>8</v>
      </c>
      <c r="E6" t="s">
        <v>2</v>
      </c>
      <c r="F6">
        <f>Tableau2[[#This Row],[Spécialisation]]*2+C6</f>
        <v>-1</v>
      </c>
      <c r="G6">
        <v>0</v>
      </c>
    </row>
    <row r="7" spans="1:7" x14ac:dyDescent="0.25">
      <c r="A7" t="s">
        <v>3</v>
      </c>
      <c r="B7">
        <v>15</v>
      </c>
      <c r="C7">
        <v>2</v>
      </c>
      <c r="D7" t="s">
        <v>23</v>
      </c>
      <c r="E7" t="s">
        <v>2</v>
      </c>
      <c r="F7">
        <f>Tableau2[[#This Row],[Spécialisation]]*2+C6</f>
        <v>-1</v>
      </c>
      <c r="G7">
        <v>0</v>
      </c>
    </row>
    <row r="8" spans="1:7" x14ac:dyDescent="0.25">
      <c r="D8" t="s">
        <v>9</v>
      </c>
      <c r="E8" t="s">
        <v>22</v>
      </c>
      <c r="F8">
        <f>Tableau2[[#This Row],[Spécialisation]]*2+C3</f>
        <v>5</v>
      </c>
      <c r="G8">
        <v>1</v>
      </c>
    </row>
    <row r="9" spans="1:7" x14ac:dyDescent="0.25">
      <c r="D9" t="s">
        <v>10</v>
      </c>
      <c r="E9" t="s">
        <v>21</v>
      </c>
      <c r="F9">
        <f>Tableau2[[#This Row],[Spécialisation]]*2+C5</f>
        <v>3</v>
      </c>
      <c r="G9">
        <v>0</v>
      </c>
    </row>
    <row r="10" spans="1:7" x14ac:dyDescent="0.25">
      <c r="D10" t="s">
        <v>11</v>
      </c>
      <c r="E10" t="s">
        <v>3</v>
      </c>
      <c r="F10">
        <f>Tableau2[[#This Row],[Spécialisation]]*2+C7</f>
        <v>4</v>
      </c>
      <c r="G10">
        <v>1</v>
      </c>
    </row>
    <row r="11" spans="1:7" x14ac:dyDescent="0.25">
      <c r="D11" t="s">
        <v>12</v>
      </c>
      <c r="E11" t="s">
        <v>3</v>
      </c>
      <c r="F11">
        <f>Tableau2[[#This Row],[Spécialisation]]*2+C7</f>
        <v>2</v>
      </c>
      <c r="G11">
        <v>0</v>
      </c>
    </row>
    <row r="12" spans="1:7" x14ac:dyDescent="0.25">
      <c r="D12" t="s">
        <v>13</v>
      </c>
      <c r="E12" t="s">
        <v>2</v>
      </c>
      <c r="F12">
        <f>Tableau2[[#This Row],[Spécialisation]]*2+C6</f>
        <v>-1</v>
      </c>
      <c r="G12">
        <v>0</v>
      </c>
    </row>
    <row r="13" spans="1:7" x14ac:dyDescent="0.25">
      <c r="D13" t="s">
        <v>14</v>
      </c>
      <c r="E13" t="s">
        <v>21</v>
      </c>
      <c r="F13">
        <f>Tableau2[[#This Row],[Spécialisation]]*2+C5</f>
        <v>3</v>
      </c>
      <c r="G13">
        <v>0</v>
      </c>
    </row>
    <row r="14" spans="1:7" x14ac:dyDescent="0.25">
      <c r="D14" t="s">
        <v>15</v>
      </c>
      <c r="E14" t="s">
        <v>3</v>
      </c>
      <c r="F14">
        <f>Tableau2[[#This Row],[Spécialisation]]*2+C7</f>
        <v>2</v>
      </c>
      <c r="G14">
        <v>0</v>
      </c>
    </row>
    <row r="15" spans="1:7" x14ac:dyDescent="0.25">
      <c r="D15" t="s">
        <v>17</v>
      </c>
      <c r="E15" t="s">
        <v>2</v>
      </c>
      <c r="F15">
        <f>Tableau2[[#This Row],[Spécialisation]]*2+C6</f>
        <v>-1</v>
      </c>
      <c r="G15">
        <v>0</v>
      </c>
    </row>
    <row r="16" spans="1:7" x14ac:dyDescent="0.25">
      <c r="D16" t="s">
        <v>16</v>
      </c>
      <c r="E16" t="s">
        <v>22</v>
      </c>
      <c r="F16">
        <f>Tableau2[[#This Row],[Spécialisation]]*2+C3</f>
        <v>3</v>
      </c>
      <c r="G16">
        <v>0</v>
      </c>
    </row>
    <row r="17" spans="4:7" x14ac:dyDescent="0.25">
      <c r="D17" t="s">
        <v>18</v>
      </c>
      <c r="E17" t="s">
        <v>0</v>
      </c>
      <c r="F17">
        <f>Tableau2[[#This Row],[Spécialisation]]*2+C2</f>
        <v>2</v>
      </c>
      <c r="G17">
        <v>0</v>
      </c>
    </row>
    <row r="18" spans="4:7" x14ac:dyDescent="0.25">
      <c r="D18" t="s">
        <v>19</v>
      </c>
      <c r="E18" t="s">
        <v>0</v>
      </c>
      <c r="F18">
        <f>Tableau2[[#This Row],[Spécialisation]]*2+C2</f>
        <v>2</v>
      </c>
      <c r="G18">
        <v>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</dc:creator>
  <cp:lastModifiedBy>Killian Belloc</cp:lastModifiedBy>
  <dcterms:created xsi:type="dcterms:W3CDTF">2015-06-05T18:19:34Z</dcterms:created>
  <dcterms:modified xsi:type="dcterms:W3CDTF">2026-02-15T01:36:05Z</dcterms:modified>
</cp:coreProperties>
</file>