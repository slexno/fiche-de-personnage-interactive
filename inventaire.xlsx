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Users\killian\Documents\JDR\Enceladus\Fiche_de_personage\"/>
    </mc:Choice>
  </mc:AlternateContent>
  <xr:revisionPtr revIDLastSave="0" documentId="13_ncr:1_{02687724-3BEB-4115-BF3D-F21000E4F647}" xr6:coauthVersionLast="47" xr6:coauthVersionMax="47" xr10:uidLastSave="{00000000-0000-0000-0000-000000000000}"/>
  <bookViews>
    <workbookView xWindow="-120" yWindow="-120" windowWidth="38640" windowHeight="21120" xr2:uid="{00000000-000D-0000-FFFF-FFFF00000000}"/>
  </bookViews>
  <sheets>
    <sheet name="sac à dos" sheetId="1" r:id="rId1"/>
    <sheet name="coffre" sheetId="5" r:id="rId2"/>
    <sheet name="armes" sheetId="2" r:id="rId3"/>
    <sheet name="equipement" sheetId="3" r:id="rId4"/>
  </sheets>
  <externalReferences>
    <externalReference r:id="rId5"/>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5" l="1"/>
  <c r="B2" i="5"/>
  <c r="G5" i="1"/>
  <c r="C4" i="2"/>
  <c r="C3" i="2"/>
  <c r="C2" i="2"/>
  <c r="G4" i="1"/>
  <c r="G3" i="1"/>
  <c r="C7" i="1"/>
  <c r="B7" i="1"/>
  <c r="C6" i="1"/>
  <c r="B6" i="1"/>
  <c r="C5" i="1"/>
  <c r="B5" i="1"/>
  <c r="A5" i="1"/>
  <c r="C4" i="1"/>
  <c r="B4" i="1"/>
  <c r="A4" i="1"/>
  <c r="C3" i="1"/>
  <c r="B3" i="1"/>
  <c r="A3" i="1"/>
  <c r="C2" i="1"/>
  <c r="B2" i="1"/>
</calcChain>
</file>

<file path=xl/sharedStrings.xml><?xml version="1.0" encoding="utf-8"?>
<sst xmlns="http://schemas.openxmlformats.org/spreadsheetml/2006/main" count="43" uniqueCount="34">
  <si>
    <t>Objet</t>
  </si>
  <si>
    <t>Valeur (en crédit)</t>
  </si>
  <si>
    <t>Poid (kg)</t>
  </si>
  <si>
    <t>poid unitaire (kg)</t>
  </si>
  <si>
    <t>Quantité</t>
  </si>
  <si>
    <t>Prix unitaire (en crédit)</t>
  </si>
  <si>
    <t>Armes</t>
  </si>
  <si>
    <t>Range (ft)</t>
  </si>
  <si>
    <t>Hit</t>
  </si>
  <si>
    <t>Damage</t>
  </si>
  <si>
    <t>description</t>
  </si>
  <si>
    <t>Equipement</t>
  </si>
  <si>
    <t>Armor class</t>
  </si>
  <si>
    <t>effet(optionel)</t>
  </si>
  <si>
    <t>Balles de 9mm</t>
  </si>
  <si>
    <t>pistolet 9mm</t>
  </si>
  <si>
    <t>2d4</t>
  </si>
  <si>
    <t>Une arme de point vous permetant de tirer 1 fois par tour pendant 6 tours, au 6eme tour une action est requise pour recharger. Lors d'un critique vous rajoute 1d4 de dégat.</t>
  </si>
  <si>
    <t>Habit de travailleur</t>
  </si>
  <si>
    <t>vous rend completement invisible parmis la plebe mais dé que vous allez dans un quartier riche vous etes instantanément fliqué</t>
  </si>
  <si>
    <t>habit de travailleur dévoué à son entreprise et prenant à cœur les valeurs de l'entreprise et de l'entraide, remerciez vos patrons de vous l'avoir offert</t>
  </si>
  <si>
    <t>kanife</t>
  </si>
  <si>
    <t>1d6</t>
  </si>
  <si>
    <t>poings</t>
  </si>
  <si>
    <t>1d4</t>
  </si>
  <si>
    <t>hei ya kunt watarya saying about ma mom. En cas de critique rajoute 1d4</t>
  </si>
  <si>
    <t>fer à souder</t>
  </si>
  <si>
    <t>Crédit</t>
  </si>
  <si>
    <t>ça soude un max et sinon ça chauffe bien et ça fait mal sur la peau</t>
  </si>
  <si>
    <t>miam l'argent</t>
  </si>
  <si>
    <t>La seule preuve que un jour les états unis ont eu des écoles</t>
  </si>
  <si>
    <t>un kanife quoi serieux. Si critique double les dégats.</t>
  </si>
  <si>
    <t>combinaison spatial</t>
  </si>
  <si>
    <t>une combinaison spatial basique te permetant de survivre à des condition  sans oxygen mais pas de vide spatial c'est bien pour se déplacer sur encelade mais pas dans l'espace ou du moins pas longtemps avec un peu de chance tu survie mais attention à pas trop faire le con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</si>
</sst>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alignment wrapText="1"/>
    </xf>
  </cellXfs>
  <cellStyles count="1">
    <cellStyle name="Normal" xfId="0" builtinId="0"/>
  </cellStyles>
  <dxfs count="30">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killian\Documents\JDR\Enceladus\Fiche_de_personage\caracteristique.xlsx" TargetMode="External"/><Relationship Id="rId1" Type="http://schemas.openxmlformats.org/officeDocument/2006/relationships/externalLinkPath" Target="caracteristiqu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euil1"/>
    </sheetNames>
    <sheetDataSet>
      <sheetData sheetId="0">
        <row r="2">
          <cell r="C2">
            <v>2</v>
          </cell>
        </row>
        <row r="3">
          <cell r="C3">
            <v>3</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6918A72-0980-4AA6-B8BC-B70F3103F2FF}" name="Tableau3" displayName="Tableau3" ref="A1:G7" totalsRowShown="0" dataDxfId="22">
  <autoFilter ref="A1:G7" xr:uid="{FBFDB5C6-B56E-4825-A40C-2ED6D68AE07F}"/>
  <tableColumns count="7">
    <tableColumn id="1" xr3:uid="{2E61CDF0-8050-47AE-A3C7-9AB27B8011E3}" name="Objet" dataDxfId="29"/>
    <tableColumn id="2" xr3:uid="{D237C7AC-DCE8-47CF-87CE-05AAD60EB287}" name="Valeur (en crédit)" dataDxfId="28">
      <calculatedColumnFormula>Tableau3[[#This Row],[Quantité]]*Tableau3[[#This Row],[Prix unitaire (en crédit)]]</calculatedColumnFormula>
    </tableColumn>
    <tableColumn id="3" xr3:uid="{30F76DC0-9034-4953-A9DA-5551EA4AE025}" name="Poid (kg)" dataDxfId="27">
      <calculatedColumnFormula>Tableau3[[#This Row],[Quantité]]*Tableau3[[#This Row],[poid unitaire (kg)]]</calculatedColumnFormula>
    </tableColumn>
    <tableColumn id="4" xr3:uid="{54E3D62F-D77F-4AB3-926C-BA0F6C626885}" name="poid unitaire (kg)" dataDxfId="26"/>
    <tableColumn id="5" xr3:uid="{F721F364-4E99-4FE6-A141-C27A2C69D980}" name="Quantité" dataDxfId="25"/>
    <tableColumn id="6" xr3:uid="{F576C1A2-956C-405C-8CBD-BB637B7D1210}" name="Prix unitaire (en crédit)" dataDxfId="24"/>
    <tableColumn id="7" xr3:uid="{6D48971E-7420-443F-9937-CC597DC2A745}" name="description" dataDxfId="23"/>
  </tableColumns>
  <tableStyleInfo name="TableStyleLight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9CD42C8-AE51-468A-881E-F1905BFCD2F0}" name="Tableau35" displayName="Tableau35" ref="A1:G2" totalsRowShown="0" headerRowDxfId="1" dataDxfId="0">
  <autoFilter ref="A1:G2" xr:uid="{A9CD42C8-AE51-468A-881E-F1905BFCD2F0}"/>
  <tableColumns count="7">
    <tableColumn id="1" xr3:uid="{368FE318-8930-44E8-BB59-1D2E2C05EA8E}" name="Objet" dataDxfId="8"/>
    <tableColumn id="2" xr3:uid="{CDC3DF32-16C3-406D-99F8-E3A228CCB52A}" name="Valeur (en crédit)" dataDxfId="7">
      <calculatedColumnFormula>Tableau35[[#This Row],[Quantité]]*Tableau35[[#This Row],[Prix unitaire (en crédit)]]</calculatedColumnFormula>
    </tableColumn>
    <tableColumn id="3" xr3:uid="{85CFC2BD-6028-4138-8938-AE7B57CC7314}" name="Poid (kg)" dataDxfId="6">
      <calculatedColumnFormula>Tableau35[[#This Row],[poid unitaire (kg)]]*Tableau35[[#This Row],[Quantité]]</calculatedColumnFormula>
    </tableColumn>
    <tableColumn id="4" xr3:uid="{1BA69D13-0CE6-49CD-B301-F1655996E063}" name="poid unitaire (kg)" dataDxfId="5"/>
    <tableColumn id="5" xr3:uid="{4352B22C-1028-4863-B1E0-F10A12B1AB65}" name="Quantité" dataDxfId="4"/>
    <tableColumn id="6" xr3:uid="{51DB9165-5D02-4F41-A1B9-01536AA83453}" name="Prix unitaire (en crédit)" dataDxfId="3"/>
    <tableColumn id="7" xr3:uid="{7B837575-17C3-415B-BDDE-EDFAC46C5028}" name="description" dataDxfId="2"/>
  </tableColumns>
  <tableStyleInfo name="TableStyleLight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62F6330-AE96-4029-ACA4-D19EDF630400}" name="Tableau4" displayName="Tableau4" ref="A1:E5" totalsRowShown="0" headerRowDxfId="16" dataDxfId="15">
  <autoFilter ref="A1:E5" xr:uid="{D7C1B802-A46B-4745-B044-CD82F4352BA5}"/>
  <tableColumns count="5">
    <tableColumn id="1" xr3:uid="{DCF86FE9-9C23-4D02-9CDA-DF220201CC5D}" name="Armes" dataDxfId="21"/>
    <tableColumn id="2" xr3:uid="{ACFE718D-7442-4CA2-9716-9A35C2D84C41}" name="Range (ft)" dataDxfId="20"/>
    <tableColumn id="3" xr3:uid="{92F190B5-4D0F-4430-A9EB-C029BA2ABCB6}" name="Hit" dataDxfId="19"/>
    <tableColumn id="4" xr3:uid="{673EB653-78A3-44E1-9E1B-7F3369F4EED8}" name="Damage" dataDxfId="18"/>
    <tableColumn id="5" xr3:uid="{699C8757-0E90-4991-A110-945643A02473}" name="description" dataDxfId="17"/>
  </tableColumns>
  <tableStyleInfo name="TableStyleDark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9C8E692-37BF-4B80-8A35-29B008A852EF}" name="Tableau5" displayName="Tableau5" ref="A1:D4" totalsRowShown="0" headerRowDxfId="10" dataDxfId="9">
  <autoFilter ref="A1:D4" xr:uid="{C2455685-722B-4008-B161-44B353559A96}"/>
  <tableColumns count="4">
    <tableColumn id="1" xr3:uid="{A4C1B411-9916-44FD-AACB-FF5503E38514}" name="Equipement" dataDxfId="14"/>
    <tableColumn id="2" xr3:uid="{BE47D5EB-BC84-48DE-A740-6EEF4C78E6C3}" name="Armor class" dataDxfId="13"/>
    <tableColumn id="3" xr3:uid="{2A8E3494-7DC0-44E0-9A5A-118947B824E1}" name="effet(optionel)" dataDxfId="12"/>
    <tableColumn id="4" xr3:uid="{EA2D1287-A12E-4A3F-A376-F5A78BB3DE5E}" name="description" dataDxfId="11"/>
  </tableColumns>
  <tableStyleInfo name="TableStyleDark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8"/>
  <sheetViews>
    <sheetView tabSelected="1" workbookViewId="0">
      <selection activeCell="F14" sqref="F14"/>
    </sheetView>
  </sheetViews>
  <sheetFormatPr baseColWidth="10" defaultColWidth="9.140625" defaultRowHeight="15" x14ac:dyDescent="0.25"/>
  <cols>
    <col min="1" max="1" width="18.140625" customWidth="1"/>
    <col min="2" max="2" width="20.140625" customWidth="1"/>
    <col min="3" max="3" width="12.5703125" customWidth="1"/>
    <col min="4" max="4" width="18.28515625" customWidth="1"/>
    <col min="5" max="5" width="12.140625" customWidth="1"/>
    <col min="6" max="6" width="25.28515625" customWidth="1"/>
    <col min="7" max="7" width="49.85546875" customWidth="1"/>
    <col min="8" max="8" width="13.5703125" customWidth="1"/>
    <col min="9" max="9" width="15.42578125" customWidth="1"/>
    <col min="10" max="10" width="8.42578125" customWidth="1"/>
    <col min="11" max="11" width="11.140625" customWidth="1"/>
    <col min="12" max="12" width="43.7109375" customWidth="1"/>
    <col min="13" max="13" width="16.85546875" customWidth="1"/>
    <col min="14" max="14" width="14.7109375" customWidth="1"/>
    <col min="15" max="15" width="27.85546875" customWidth="1"/>
    <col min="16" max="16" width="37.140625" customWidth="1"/>
  </cols>
  <sheetData>
    <row r="1" spans="1:20" x14ac:dyDescent="0.25">
      <c r="A1" t="s">
        <v>0</v>
      </c>
      <c r="B1" t="s">
        <v>1</v>
      </c>
      <c r="C1" t="s">
        <v>2</v>
      </c>
      <c r="D1" t="s">
        <v>3</v>
      </c>
      <c r="E1" t="s">
        <v>4</v>
      </c>
      <c r="F1" t="s">
        <v>5</v>
      </c>
      <c r="G1" t="s">
        <v>10</v>
      </c>
    </row>
    <row r="2" spans="1:20" ht="30" x14ac:dyDescent="0.25">
      <c r="A2" s="1" t="s">
        <v>14</v>
      </c>
      <c r="B2" s="1">
        <f>Tableau3[[#This Row],[Quantité]]*Tableau3[[#This Row],[Prix unitaire (en crédit)]]</f>
        <v>6</v>
      </c>
      <c r="C2" s="1">
        <f>Tableau3[[#This Row],[Quantité]]*Tableau3[[#This Row],[poid unitaire (kg)]]</f>
        <v>6</v>
      </c>
      <c r="D2" s="1">
        <v>0.1</v>
      </c>
      <c r="E2" s="1">
        <v>60</v>
      </c>
      <c r="F2" s="1">
        <v>0.1</v>
      </c>
      <c r="G2" s="1" t="s">
        <v>30</v>
      </c>
      <c r="Q2" s="1"/>
      <c r="R2" s="1"/>
      <c r="S2" s="1"/>
      <c r="T2" s="1"/>
    </row>
    <row r="3" spans="1:20" ht="60" x14ac:dyDescent="0.25">
      <c r="A3" s="1" t="str">
        <f>armes!A2</f>
        <v>pistolet 9mm</v>
      </c>
      <c r="B3" s="1">
        <f>Tableau3[[#This Row],[Quantité]]*Tableau3[[#This Row],[Prix unitaire (en crédit)]]</f>
        <v>35</v>
      </c>
      <c r="C3" s="1">
        <f>Tableau3[[#This Row],[Quantité]]*Tableau3[[#This Row],[poid unitaire (kg)]]</f>
        <v>1.5</v>
      </c>
      <c r="D3" s="1">
        <v>1.5</v>
      </c>
      <c r="E3" s="1">
        <v>1</v>
      </c>
      <c r="F3" s="1">
        <v>35</v>
      </c>
      <c r="G3" s="1" t="str">
        <f>armes!E2</f>
        <v>Une arme de point vous permetant de tirer 1 fois par tour pendant 6 tours, au 6eme tour une action est requise pour recharger. Lors d'un critique vous rajoute 1d4 de dégat.</v>
      </c>
      <c r="M3" s="1"/>
      <c r="N3" s="1"/>
      <c r="O3" s="1"/>
      <c r="P3" s="1"/>
      <c r="Q3" s="1"/>
      <c r="R3" s="1"/>
      <c r="S3" s="1"/>
      <c r="T3" s="1"/>
    </row>
    <row r="4" spans="1:20" x14ac:dyDescent="0.25">
      <c r="A4" s="1" t="str">
        <f>armes!A3</f>
        <v>kanife</v>
      </c>
      <c r="B4" s="1">
        <f>Tableau3[[#This Row],[Quantité]]*Tableau3[[#This Row],[Prix unitaire (en crédit)]]</f>
        <v>10</v>
      </c>
      <c r="C4" s="1">
        <f>Tableau3[[#This Row],[Quantité]]*Tableau3[[#This Row],[poid unitaire (kg)]]</f>
        <v>0.5</v>
      </c>
      <c r="D4" s="1">
        <v>0.5</v>
      </c>
      <c r="E4" s="1">
        <v>1</v>
      </c>
      <c r="F4" s="1">
        <v>10</v>
      </c>
      <c r="G4" s="1" t="str">
        <f>armes!E3</f>
        <v>un kanife quoi serieux. Si critique double les dégats.</v>
      </c>
      <c r="M4" s="1"/>
      <c r="N4" s="1"/>
      <c r="O4" s="1"/>
      <c r="P4" s="1"/>
      <c r="Q4" s="1"/>
      <c r="R4" s="1"/>
      <c r="S4" s="1"/>
      <c r="T4" s="1"/>
    </row>
    <row r="5" spans="1:20" ht="45" x14ac:dyDescent="0.25">
      <c r="A5" s="1" t="str">
        <f>equipement!A2</f>
        <v>Habit de travailleur</v>
      </c>
      <c r="B5" s="1">
        <f>Tableau3[[#This Row],[Quantité]]*Tableau3[[#This Row],[Prix unitaire (en crédit)]]</f>
        <v>5</v>
      </c>
      <c r="C5" s="1">
        <f>Tableau3[[#This Row],[Quantité]]*Tableau3[[#This Row],[poid unitaire (kg)]]</f>
        <v>0.8</v>
      </c>
      <c r="D5" s="1">
        <v>0.8</v>
      </c>
      <c r="E5" s="1">
        <v>1</v>
      </c>
      <c r="F5" s="1">
        <v>5</v>
      </c>
      <c r="G5" s="1" t="str">
        <f>equipement!D2</f>
        <v>habit de travailleur dévoué à son entreprise et prenant à cœur les valeurs de l'entreprise et de l'entraide, remerciez vos patrons de vous l'avoir offert</v>
      </c>
      <c r="H5" s="1"/>
      <c r="I5" s="1"/>
      <c r="J5" s="1"/>
      <c r="K5" s="1"/>
      <c r="L5" s="1"/>
      <c r="M5" s="1"/>
      <c r="N5" s="1"/>
      <c r="O5" s="1"/>
      <c r="P5" s="1"/>
      <c r="Q5" s="1"/>
      <c r="R5" s="1"/>
      <c r="S5" s="1"/>
      <c r="T5" s="1"/>
    </row>
    <row r="6" spans="1:20" ht="30" x14ac:dyDescent="0.25">
      <c r="A6" s="1" t="s">
        <v>26</v>
      </c>
      <c r="B6" s="1">
        <f>Tableau3[[#This Row],[Quantité]]*Tableau3[[#This Row],[Prix unitaire (en crédit)]]</f>
        <v>25</v>
      </c>
      <c r="C6" s="1">
        <f>Tableau3[[#This Row],[Quantité]]*Tableau3[[#This Row],[poid unitaire (kg)]]</f>
        <v>1</v>
      </c>
      <c r="D6" s="1">
        <v>1</v>
      </c>
      <c r="E6" s="1">
        <v>1</v>
      </c>
      <c r="F6" s="1">
        <v>25</v>
      </c>
      <c r="G6" s="1" t="s">
        <v>28</v>
      </c>
      <c r="H6" s="1"/>
      <c r="I6" s="1"/>
      <c r="J6" s="1"/>
      <c r="K6" s="1"/>
      <c r="L6" s="1"/>
      <c r="M6" s="1"/>
      <c r="N6" s="1"/>
      <c r="O6" s="1"/>
      <c r="P6" s="1"/>
      <c r="Q6" s="1"/>
      <c r="R6" s="1"/>
      <c r="S6" s="1"/>
      <c r="T6" s="1"/>
    </row>
    <row r="7" spans="1:20" x14ac:dyDescent="0.25">
      <c r="A7" s="1" t="s">
        <v>27</v>
      </c>
      <c r="B7" s="1">
        <f>Tableau3[[#This Row],[Quantité]]*Tableau3[[#This Row],[Prix unitaire (en crédit)]]</f>
        <v>100</v>
      </c>
      <c r="C7" s="1">
        <f>Tableau3[[#This Row],[Quantité]]*Tableau3[[#This Row],[poid unitaire (kg)]]</f>
        <v>0</v>
      </c>
      <c r="D7" s="1">
        <v>0</v>
      </c>
      <c r="E7" s="1">
        <v>100</v>
      </c>
      <c r="F7" s="1">
        <v>1</v>
      </c>
      <c r="G7" s="1" t="s">
        <v>29</v>
      </c>
      <c r="H7" s="1"/>
      <c r="I7" s="1"/>
      <c r="J7" s="1"/>
      <c r="K7" s="1"/>
      <c r="L7" s="1"/>
      <c r="M7" s="1"/>
      <c r="N7" s="1"/>
      <c r="O7" s="1"/>
      <c r="P7" s="1"/>
      <c r="Q7" s="1"/>
      <c r="R7" s="1"/>
      <c r="S7" s="1"/>
      <c r="T7" s="1"/>
    </row>
    <row r="8" spans="1:20" x14ac:dyDescent="0.25">
      <c r="A8" s="1"/>
      <c r="B8" s="1"/>
      <c r="C8" s="1"/>
      <c r="D8" s="1"/>
      <c r="E8" s="1"/>
      <c r="F8" s="1"/>
      <c r="G8" s="1"/>
      <c r="H8" s="1"/>
      <c r="I8" s="1"/>
      <c r="J8" s="1"/>
      <c r="K8" s="1"/>
      <c r="L8" s="1"/>
      <c r="M8" s="1"/>
      <c r="N8" s="1"/>
      <c r="O8" s="1"/>
      <c r="P8" s="1"/>
      <c r="Q8" s="1"/>
      <c r="R8" s="1"/>
      <c r="S8" s="1"/>
      <c r="T8" s="1"/>
    </row>
    <row r="9" spans="1:20" x14ac:dyDescent="0.25">
      <c r="A9" s="1"/>
      <c r="B9" s="1"/>
      <c r="C9" s="1"/>
      <c r="D9" s="1"/>
      <c r="E9" s="1"/>
      <c r="F9" s="1"/>
      <c r="G9" s="1"/>
      <c r="H9" s="1"/>
      <c r="I9" s="1"/>
      <c r="J9" s="1"/>
      <c r="K9" s="1"/>
      <c r="L9" s="1"/>
      <c r="M9" s="1"/>
      <c r="N9" s="1"/>
      <c r="O9" s="1"/>
      <c r="P9" s="1"/>
      <c r="Q9" s="1"/>
      <c r="R9" s="1"/>
      <c r="S9" s="1"/>
      <c r="T9" s="1"/>
    </row>
    <row r="10" spans="1:20" x14ac:dyDescent="0.25">
      <c r="A10" s="1"/>
      <c r="B10" s="1"/>
      <c r="C10" s="1"/>
      <c r="D10" s="1"/>
      <c r="E10" s="1"/>
      <c r="F10" s="1"/>
      <c r="G10" s="1"/>
      <c r="H10" s="1"/>
      <c r="I10" s="1"/>
      <c r="J10" s="1"/>
      <c r="K10" s="1"/>
      <c r="L10" s="1"/>
      <c r="M10" s="1"/>
      <c r="N10" s="1"/>
      <c r="O10" s="1"/>
      <c r="P10" s="1"/>
      <c r="Q10" s="1"/>
      <c r="R10" s="1"/>
      <c r="S10" s="1"/>
      <c r="T10" s="1"/>
    </row>
    <row r="11" spans="1:20" x14ac:dyDescent="0.25">
      <c r="A11" s="1"/>
      <c r="B11" s="1"/>
      <c r="C11" s="1"/>
      <c r="D11" s="1"/>
      <c r="E11" s="1"/>
      <c r="F11" s="1"/>
      <c r="G11" s="1"/>
      <c r="H11" s="1"/>
      <c r="I11" s="1"/>
      <c r="J11" s="1"/>
      <c r="K11" s="1"/>
      <c r="L11" s="1"/>
      <c r="M11" s="1"/>
      <c r="N11" s="1"/>
      <c r="O11" s="1"/>
      <c r="P11" s="1"/>
      <c r="Q11" s="1"/>
      <c r="R11" s="1"/>
      <c r="S11" s="1"/>
      <c r="T11" s="1"/>
    </row>
    <row r="12" spans="1:20" x14ac:dyDescent="0.25">
      <c r="A12" s="1"/>
      <c r="B12" s="1"/>
      <c r="C12" s="1"/>
      <c r="D12" s="1"/>
      <c r="E12" s="1"/>
      <c r="F12" s="1"/>
      <c r="G12" s="1"/>
      <c r="H12" s="1"/>
      <c r="I12" s="1"/>
      <c r="J12" s="1"/>
      <c r="K12" s="1"/>
      <c r="L12" s="1"/>
      <c r="M12" s="1"/>
      <c r="N12" s="1"/>
      <c r="O12" s="1"/>
      <c r="P12" s="1"/>
      <c r="Q12" s="1"/>
      <c r="R12" s="1"/>
      <c r="S12" s="1"/>
      <c r="T12" s="1"/>
    </row>
    <row r="13" spans="1:20" x14ac:dyDescent="0.25">
      <c r="A13" s="1"/>
      <c r="B13" s="1"/>
      <c r="C13" s="1"/>
      <c r="D13" s="1"/>
      <c r="E13" s="1"/>
      <c r="F13" s="1"/>
      <c r="G13" s="1"/>
      <c r="H13" s="1"/>
      <c r="I13" s="1"/>
      <c r="J13" s="1"/>
      <c r="K13" s="1"/>
      <c r="L13" s="1"/>
      <c r="M13" s="1"/>
      <c r="N13" s="1"/>
      <c r="O13" s="1"/>
      <c r="P13" s="1"/>
      <c r="Q13" s="1"/>
      <c r="R13" s="1"/>
      <c r="S13" s="1"/>
      <c r="T13" s="1"/>
    </row>
    <row r="14" spans="1:20" x14ac:dyDescent="0.25">
      <c r="A14" s="1"/>
      <c r="B14" s="1"/>
      <c r="C14" s="1"/>
      <c r="D14" s="1"/>
      <c r="E14" s="1"/>
      <c r="F14" s="1"/>
      <c r="G14" s="1"/>
      <c r="H14" s="1"/>
      <c r="I14" s="1"/>
      <c r="J14" s="1"/>
      <c r="K14" s="1"/>
      <c r="L14" s="1"/>
      <c r="M14" s="1"/>
      <c r="N14" s="1"/>
      <c r="O14" s="1"/>
      <c r="P14" s="1"/>
      <c r="Q14" s="1"/>
      <c r="R14" s="1"/>
      <c r="S14" s="1"/>
      <c r="T14" s="1"/>
    </row>
    <row r="15" spans="1:20" x14ac:dyDescent="0.25">
      <c r="A15" s="1"/>
      <c r="B15" s="1"/>
      <c r="C15" s="1"/>
      <c r="D15" s="1"/>
      <c r="E15" s="1"/>
      <c r="F15" s="1"/>
      <c r="G15" s="1"/>
      <c r="H15" s="1"/>
      <c r="I15" s="1"/>
      <c r="J15" s="1"/>
      <c r="K15" s="1"/>
      <c r="L15" s="1"/>
      <c r="M15" s="1"/>
      <c r="N15" s="1"/>
      <c r="O15" s="1"/>
      <c r="P15" s="1"/>
      <c r="Q15" s="1"/>
      <c r="R15" s="1"/>
      <c r="S15" s="1"/>
      <c r="T15" s="1"/>
    </row>
    <row r="16" spans="1:20" x14ac:dyDescent="0.25">
      <c r="A16" s="1"/>
      <c r="B16" s="1"/>
      <c r="C16" s="1"/>
      <c r="D16" s="1"/>
      <c r="E16" s="1"/>
      <c r="F16" s="1"/>
      <c r="G16" s="1"/>
      <c r="H16" s="1"/>
      <c r="I16" s="1"/>
      <c r="J16" s="1"/>
      <c r="K16" s="1"/>
      <c r="L16" s="1"/>
      <c r="M16" s="1"/>
      <c r="N16" s="1"/>
      <c r="O16" s="1"/>
      <c r="P16" s="1"/>
      <c r="Q16" s="1"/>
      <c r="R16" s="1"/>
      <c r="S16" s="1"/>
      <c r="T16" s="1"/>
    </row>
    <row r="17" spans="1:20" x14ac:dyDescent="0.25">
      <c r="A17" s="1"/>
      <c r="B17" s="1"/>
      <c r="C17" s="1"/>
      <c r="D17" s="1"/>
      <c r="E17" s="1"/>
      <c r="F17" s="1"/>
      <c r="G17" s="1"/>
      <c r="H17" s="1"/>
      <c r="I17" s="1"/>
      <c r="J17" s="1"/>
      <c r="K17" s="1"/>
      <c r="L17" s="1"/>
      <c r="M17" s="1"/>
      <c r="N17" s="1"/>
      <c r="O17" s="1"/>
      <c r="P17" s="1"/>
      <c r="Q17" s="1"/>
      <c r="R17" s="1"/>
      <c r="S17" s="1"/>
      <c r="T17" s="1"/>
    </row>
    <row r="18" spans="1:20" x14ac:dyDescent="0.25">
      <c r="A18" s="1"/>
      <c r="B18" s="1"/>
      <c r="C18" s="1"/>
      <c r="D18" s="1"/>
      <c r="E18" s="1"/>
      <c r="F18" s="1"/>
      <c r="G18" s="1"/>
      <c r="H18" s="1"/>
      <c r="I18" s="1"/>
      <c r="J18" s="1"/>
      <c r="K18" s="1"/>
      <c r="L18" s="1"/>
      <c r="M18" s="1"/>
      <c r="N18" s="1"/>
      <c r="O18" s="1"/>
      <c r="P18" s="1"/>
      <c r="Q18" s="1"/>
      <c r="R18" s="1"/>
      <c r="S18" s="1"/>
      <c r="T18" s="1"/>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45B03-2F3E-44A4-9451-74B55ACEC076}">
  <dimension ref="A1:G7"/>
  <sheetViews>
    <sheetView workbookViewId="0">
      <selection activeCell="G7" sqref="G7"/>
    </sheetView>
  </sheetViews>
  <sheetFormatPr baseColWidth="10" defaultRowHeight="15" x14ac:dyDescent="0.25"/>
  <cols>
    <col min="1" max="1" width="28.42578125" customWidth="1"/>
    <col min="2" max="2" width="22" customWidth="1"/>
    <col min="3" max="3" width="12.85546875" customWidth="1"/>
    <col min="4" max="4" width="22" customWidth="1"/>
    <col min="5" max="5" width="14.140625" customWidth="1"/>
    <col min="6" max="6" width="26.7109375" customWidth="1"/>
    <col min="7" max="7" width="50.140625" customWidth="1"/>
  </cols>
  <sheetData>
    <row r="1" spans="1:7" x14ac:dyDescent="0.25">
      <c r="A1" s="1" t="s">
        <v>0</v>
      </c>
      <c r="B1" s="1" t="s">
        <v>1</v>
      </c>
      <c r="C1" s="1" t="s">
        <v>2</v>
      </c>
      <c r="D1" s="1" t="s">
        <v>3</v>
      </c>
      <c r="E1" s="1" t="s">
        <v>4</v>
      </c>
      <c r="F1" s="1" t="s">
        <v>5</v>
      </c>
      <c r="G1" s="1" t="s">
        <v>10</v>
      </c>
    </row>
    <row r="2" spans="1:7" ht="90" x14ac:dyDescent="0.25">
      <c r="A2" s="1" t="s">
        <v>32</v>
      </c>
      <c r="B2" s="1">
        <f>Tableau35[[#This Row],[Quantité]]*Tableau35[[#This Row],[Prix unitaire (en crédit)]]</f>
        <v>300</v>
      </c>
      <c r="C2" s="1">
        <f>Tableau35[[#This Row],[poid unitaire (kg)]]*Tableau35[[#This Row],[Quantité]]</f>
        <v>45</v>
      </c>
      <c r="D2" s="1">
        <v>45</v>
      </c>
      <c r="E2" s="1">
        <v>1</v>
      </c>
      <c r="F2" s="1">
        <v>300</v>
      </c>
      <c r="G2" s="1" t="s">
        <v>33</v>
      </c>
    </row>
    <row r="3" spans="1:7" x14ac:dyDescent="0.25">
      <c r="A3" s="1"/>
      <c r="B3" s="1"/>
      <c r="C3" s="1"/>
      <c r="D3" s="1"/>
      <c r="E3" s="1"/>
      <c r="F3" s="1"/>
      <c r="G3" s="1"/>
    </row>
    <row r="4" spans="1:7" x14ac:dyDescent="0.25">
      <c r="A4" s="1"/>
      <c r="B4" s="1"/>
      <c r="C4" s="1"/>
      <c r="D4" s="1"/>
      <c r="E4" s="1"/>
      <c r="F4" s="1"/>
      <c r="G4" s="1"/>
    </row>
    <row r="5" spans="1:7" x14ac:dyDescent="0.25">
      <c r="A5" s="1"/>
      <c r="B5" s="1"/>
      <c r="C5" s="1"/>
      <c r="D5" s="1"/>
      <c r="E5" s="1"/>
      <c r="F5" s="1"/>
      <c r="G5" s="1"/>
    </row>
    <row r="6" spans="1:7" x14ac:dyDescent="0.25">
      <c r="A6" s="1"/>
      <c r="B6" s="1"/>
      <c r="C6" s="1"/>
      <c r="D6" s="1"/>
      <c r="E6" s="1"/>
      <c r="F6" s="1"/>
      <c r="G6" s="1"/>
    </row>
    <row r="7" spans="1:7" x14ac:dyDescent="0.25">
      <c r="A7" s="1"/>
      <c r="B7" s="1"/>
      <c r="C7" s="1"/>
      <c r="D7" s="1"/>
      <c r="E7" s="1"/>
      <c r="F7" s="1"/>
      <c r="G7" s="1"/>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C3ED6B-344A-48D4-BCA1-D002C509BE53}">
  <dimension ref="A1:E5"/>
  <sheetViews>
    <sheetView workbookViewId="0">
      <selection activeCell="C2" sqref="C2"/>
    </sheetView>
  </sheetViews>
  <sheetFormatPr baseColWidth="10" defaultRowHeight="15" x14ac:dyDescent="0.25"/>
  <cols>
    <col min="1" max="1" width="45.140625" customWidth="1"/>
    <col min="2" max="2" width="63.85546875" customWidth="1"/>
    <col min="3" max="3" width="26.28515625" customWidth="1"/>
    <col min="4" max="4" width="40.28515625" customWidth="1"/>
    <col min="5" max="5" width="41" customWidth="1"/>
  </cols>
  <sheetData>
    <row r="1" spans="1:5" x14ac:dyDescent="0.25">
      <c r="A1" s="1" t="s">
        <v>6</v>
      </c>
      <c r="B1" s="1" t="s">
        <v>7</v>
      </c>
      <c r="C1" s="1" t="s">
        <v>8</v>
      </c>
      <c r="D1" s="1" t="s">
        <v>9</v>
      </c>
      <c r="E1" s="1" t="s">
        <v>10</v>
      </c>
    </row>
    <row r="2" spans="1:5" ht="60" x14ac:dyDescent="0.25">
      <c r="A2" s="1" t="s">
        <v>15</v>
      </c>
      <c r="B2" s="1">
        <v>150</v>
      </c>
      <c r="C2" s="1">
        <f>[1]Feuil1!C3</f>
        <v>3</v>
      </c>
      <c r="D2" s="1" t="s">
        <v>16</v>
      </c>
      <c r="E2" s="1" t="s">
        <v>17</v>
      </c>
    </row>
    <row r="3" spans="1:5" ht="30" x14ac:dyDescent="0.25">
      <c r="A3" s="1" t="s">
        <v>21</v>
      </c>
      <c r="B3" s="1">
        <v>5</v>
      </c>
      <c r="C3" s="1">
        <f>[1]Feuil1!C2</f>
        <v>2</v>
      </c>
      <c r="D3" s="1" t="s">
        <v>22</v>
      </c>
      <c r="E3" s="1" t="s">
        <v>31</v>
      </c>
    </row>
    <row r="4" spans="1:5" ht="30" x14ac:dyDescent="0.25">
      <c r="A4" s="1" t="s">
        <v>23</v>
      </c>
      <c r="B4" s="1">
        <v>5</v>
      </c>
      <c r="C4" s="1">
        <f>[1]Feuil1!C2</f>
        <v>2</v>
      </c>
      <c r="D4" s="1" t="s">
        <v>24</v>
      </c>
      <c r="E4" s="1" t="s">
        <v>25</v>
      </c>
    </row>
    <row r="5" spans="1:5" x14ac:dyDescent="0.25">
      <c r="A5" s="1"/>
      <c r="B5" s="1"/>
      <c r="C5" s="1"/>
      <c r="D5" s="1"/>
      <c r="E5" s="1"/>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D3356-349C-40B9-83C6-50B2AE27E7F2}">
  <dimension ref="A1:D12"/>
  <sheetViews>
    <sheetView workbookViewId="0">
      <selection activeCell="C12" sqref="C12"/>
    </sheetView>
  </sheetViews>
  <sheetFormatPr baseColWidth="10" defaultRowHeight="15" x14ac:dyDescent="0.25"/>
  <cols>
    <col min="1" max="1" width="38.140625" customWidth="1"/>
    <col min="2" max="2" width="39.7109375" customWidth="1"/>
    <col min="3" max="3" width="33.140625" customWidth="1"/>
    <col min="4" max="4" width="42.28515625" customWidth="1"/>
  </cols>
  <sheetData>
    <row r="1" spans="1:4" x14ac:dyDescent="0.25">
      <c r="A1" s="1" t="s">
        <v>11</v>
      </c>
      <c r="B1" s="1" t="s">
        <v>12</v>
      </c>
      <c r="C1" s="1" t="s">
        <v>13</v>
      </c>
      <c r="D1" s="1" t="s">
        <v>10</v>
      </c>
    </row>
    <row r="2" spans="1:4" ht="60" x14ac:dyDescent="0.25">
      <c r="A2" s="1" t="s">
        <v>18</v>
      </c>
      <c r="B2" s="1">
        <v>10</v>
      </c>
      <c r="C2" s="1" t="s">
        <v>19</v>
      </c>
      <c r="D2" s="1" t="s">
        <v>20</v>
      </c>
    </row>
    <row r="3" spans="1:4" x14ac:dyDescent="0.25">
      <c r="A3" s="1"/>
      <c r="B3" s="1"/>
      <c r="C3" s="1"/>
      <c r="D3" s="1"/>
    </row>
    <row r="4" spans="1:4" x14ac:dyDescent="0.25">
      <c r="A4" s="1"/>
      <c r="B4" s="1"/>
      <c r="C4" s="1"/>
      <c r="D4" s="1"/>
    </row>
    <row r="5" spans="1:4" x14ac:dyDescent="0.25">
      <c r="A5" s="1"/>
      <c r="B5" s="1"/>
      <c r="C5" s="1"/>
      <c r="D5" s="1"/>
    </row>
    <row r="6" spans="1:4" x14ac:dyDescent="0.25">
      <c r="A6" s="1"/>
      <c r="B6" s="1"/>
      <c r="C6" s="1"/>
      <c r="D6" s="1"/>
    </row>
    <row r="7" spans="1:4" x14ac:dyDescent="0.25">
      <c r="A7" s="1"/>
      <c r="B7" s="1"/>
      <c r="C7" s="1"/>
      <c r="D7" s="1"/>
    </row>
    <row r="8" spans="1:4" x14ac:dyDescent="0.25">
      <c r="A8" s="1"/>
      <c r="B8" s="1"/>
      <c r="C8" s="1"/>
      <c r="D8" s="1"/>
    </row>
    <row r="9" spans="1:4" x14ac:dyDescent="0.25">
      <c r="A9" s="1"/>
      <c r="B9" s="1"/>
      <c r="C9" s="1"/>
      <c r="D9" s="1"/>
    </row>
    <row r="10" spans="1:4" x14ac:dyDescent="0.25">
      <c r="A10" s="1"/>
      <c r="B10" s="1"/>
      <c r="C10" s="1"/>
      <c r="D10" s="1"/>
    </row>
    <row r="11" spans="1:4" x14ac:dyDescent="0.25">
      <c r="A11" s="1"/>
      <c r="B11" s="1"/>
      <c r="C11" s="1"/>
      <c r="D11" s="1"/>
    </row>
    <row r="12" spans="1:4" x14ac:dyDescent="0.25">
      <c r="A12" s="1"/>
      <c r="B12" s="1"/>
      <c r="C12" s="1"/>
      <c r="D12" s="1"/>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4</vt:i4>
      </vt:variant>
    </vt:vector>
  </HeadingPairs>
  <TitlesOfParts>
    <vt:vector size="4" baseType="lpstr">
      <vt:lpstr>sac à dos</vt:lpstr>
      <vt:lpstr>coffre</vt:lpstr>
      <vt:lpstr>armes</vt:lpstr>
      <vt:lpstr>equipement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killian</dc:creator>
  <cp:lastModifiedBy>Killian Belloc</cp:lastModifiedBy>
  <dcterms:created xsi:type="dcterms:W3CDTF">2015-06-05T18:19:34Z</dcterms:created>
  <dcterms:modified xsi:type="dcterms:W3CDTF">2026-02-15T01:35:55Z</dcterms:modified>
</cp:coreProperties>
</file>