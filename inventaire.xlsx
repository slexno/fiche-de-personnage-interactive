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illian\Documents\JDR\Enceladus\Fiche_de_personage\"/>
    </mc:Choice>
  </mc:AlternateContent>
  <xr:revisionPtr revIDLastSave="0" documentId="13_ncr:1_{BD0BCB67-26E5-4255-BFC9-E67B3AA1BDD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euil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 a="1"/>
  <c r="G5" i="1" s="1"/>
  <c r="G4" i="1"/>
  <c r="G3" i="1"/>
  <c r="C7" i="1"/>
  <c r="B7" i="1"/>
  <c r="C6" i="1"/>
  <c r="B6" i="1"/>
  <c r="C5" i="1"/>
  <c r="B5" i="1"/>
  <c r="A5" i="1"/>
  <c r="J4" i="1"/>
  <c r="C4" i="1"/>
  <c r="B4" i="1"/>
  <c r="A4" i="1"/>
  <c r="J3" i="1"/>
  <c r="C3" i="1"/>
  <c r="B3" i="1"/>
  <c r="A3" i="1"/>
  <c r="J2" i="1"/>
  <c r="C2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<sst xmlns="http://schemas.openxmlformats.org/spreadsheetml/2006/main" count="34" uniqueCount="32">
  <si>
    <t>Objet</t>
  </si>
  <si>
    <t>Valeur (en crédit)</t>
  </si>
  <si>
    <t>Poid (kg)</t>
  </si>
  <si>
    <t>poid unitaire (kg)</t>
  </si>
  <si>
    <t>Quantité</t>
  </si>
  <si>
    <t>Prix unitaire (en crédit)</t>
  </si>
  <si>
    <t>Armes</t>
  </si>
  <si>
    <t>Range (ft)</t>
  </si>
  <si>
    <t>Hit</t>
  </si>
  <si>
    <t>Damage</t>
  </si>
  <si>
    <t>description</t>
  </si>
  <si>
    <t>Equipement</t>
  </si>
  <si>
    <t>Armor class</t>
  </si>
  <si>
    <t>effet(optionel)</t>
  </si>
  <si>
    <t>Balles de 9mm</t>
  </si>
  <si>
    <t>pistolet 9mm</t>
  </si>
  <si>
    <t>2d4</t>
  </si>
  <si>
    <t>Une arme de point vous permetant de tirer 1 fois par tour pendant 6 tours, au 6eme tour une action est requise pour recharger. Lors d'un critique vous rajoute 1d4 de dégat.</t>
  </si>
  <si>
    <t>Habit de travailleur</t>
  </si>
  <si>
    <t>vous rend completement invisible parmis la plebe mais dé que vous allez dans un quartier riche vous etes instantanément fliqué</t>
  </si>
  <si>
    <t>habit de travailleur dévoué à son entreprise et prenant à cœur les valeurs de l'entreprise et de l'entraide, remerciez vos patrons de vous l'avoir offert</t>
  </si>
  <si>
    <t>kanife</t>
  </si>
  <si>
    <t>1d6</t>
  </si>
  <si>
    <t>un kanife quoi serieux. Si critique double les dégats,</t>
  </si>
  <si>
    <t>poings</t>
  </si>
  <si>
    <t>1d4</t>
  </si>
  <si>
    <t>hei ya kunt watarya saying about ma mom. En cas de critique rajoute 1d4</t>
  </si>
  <si>
    <t>fer à souder</t>
  </si>
  <si>
    <t>Crédit</t>
  </si>
  <si>
    <t>ça soude un max et sinon ça chauffe bien et ça fait mal sur la peau</t>
  </si>
  <si>
    <t>miam l'argent</t>
  </si>
  <si>
    <t>La seule preuve que un jour les états unis ont eu des écoles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</si>
</sst>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9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illian\Documents\JDR\Enceladus\Fiche_de_personage\caracteristique.xlsx" TargetMode="External"/><Relationship Id="rId1" Type="http://schemas.openxmlformats.org/officeDocument/2006/relationships/externalLinkPath" Target="caracteristi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>
        <row r="2">
          <cell r="C2">
            <v>2</v>
          </cell>
        </row>
        <row r="3">
          <cell r="C3">
            <v>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918A72-0980-4AA6-B8BC-B70F3103F2FF}" name="Tableau3" displayName="Tableau3" ref="A1:G7" totalsRowShown="0" dataDxfId="11">
  <autoFilter ref="A1:G7" xr:uid="{FBFDB5C6-B56E-4825-A40C-2ED6D68AE07F}"/>
  <tableColumns count="7">
    <tableColumn id="1" xr3:uid="{2E61CDF0-8050-47AE-A3C7-9AB27B8011E3}" name="Objet" dataDxfId="18"/>
    <tableColumn id="2" xr3:uid="{D237C7AC-DCE8-47CF-87CE-05AAD60EB287}" name="Valeur (en crédit)" dataDxfId="17">
      <calculatedColumnFormula>Tableau3[[#This Row],[Quantité]]*Tableau3[[#This Row],[Prix unitaire (en crédit)]]</calculatedColumnFormula>
    </tableColumn>
    <tableColumn id="3" xr3:uid="{30F76DC0-9034-4953-A9DA-5551EA4AE025}" name="Poid (kg)" dataDxfId="16">
      <calculatedColumnFormula>Tableau3[[#This Row],[Quantité]]*Tableau3[[#This Row],[poid unitaire (kg)]]</calculatedColumnFormula>
    </tableColumn>
    <tableColumn id="4" xr3:uid="{54E3D62F-D77F-4AB3-926C-BA0F6C626885}" name="poid unitaire (kg)" dataDxfId="15"/>
    <tableColumn id="5" xr3:uid="{F721F364-4E99-4FE6-A141-C27A2C69D980}" name="Quantité" dataDxfId="14"/>
    <tableColumn id="6" xr3:uid="{F576C1A2-956C-405C-8CBD-BB637B7D1210}" name="Prix unitaire (en crédit)" dataDxfId="13"/>
    <tableColumn id="7" xr3:uid="{6D48971E-7420-443F-9937-CC597DC2A745}" name="description" dataDxfId="12"/>
  </tableColumns>
  <tableStyleInfo name="TableStyleLight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2F6330-AE96-4029-ACA4-D19EDF630400}" name="Tableau4" displayName="Tableau4" ref="H1:L4" totalsRowShown="0" dataDxfId="5">
  <autoFilter ref="H1:L4" xr:uid="{D7C1B802-A46B-4745-B044-CD82F4352BA5}"/>
  <tableColumns count="5">
    <tableColumn id="1" xr3:uid="{DCF86FE9-9C23-4D02-9CDA-DF220201CC5D}" name="Armes" dataDxfId="10"/>
    <tableColumn id="2" xr3:uid="{ACFE718D-7442-4CA2-9716-9A35C2D84C41}" name="Range (ft)" dataDxfId="9"/>
    <tableColumn id="3" xr3:uid="{92F190B5-4D0F-4430-A9EB-C029BA2ABCB6}" name="Hit" dataDxfId="8"/>
    <tableColumn id="4" xr3:uid="{673EB653-78A3-44E1-9E1B-7F3369F4EED8}" name="Damage" dataDxfId="7"/>
    <tableColumn id="5" xr3:uid="{699C8757-0E90-4991-A110-945643A02473}" name="description" dataDxfId="6"/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C8E692-37BF-4B80-8A35-29B008A852EF}" name="Tableau5" displayName="Tableau5" ref="M1:P2" totalsRowShown="0" dataDxfId="0">
  <autoFilter ref="M1:P2" xr:uid="{C2455685-722B-4008-B161-44B353559A96}"/>
  <tableColumns count="4">
    <tableColumn id="1" xr3:uid="{A4C1B411-9916-44FD-AACB-FF5503E38514}" name="Equipement" dataDxfId="4"/>
    <tableColumn id="2" xr3:uid="{BE47D5EB-BC84-48DE-A740-6EEF4C78E6C3}" name="Armor class" dataDxfId="3"/>
    <tableColumn id="3" xr3:uid="{2A8E3494-7DC0-44E0-9A5A-118947B824E1}" name="effet(optionel)" dataDxfId="2"/>
    <tableColumn id="4" xr3:uid="{EA2D1287-A12E-4A3F-A376-F5A78BB3DE5E}" name="description" dataDxfId="1"/>
  </tableColumns>
  <tableStyleInfo name="TableStyleDark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"/>
  <sheetViews>
    <sheetView tabSelected="1" workbookViewId="0">
      <selection activeCell="L2" sqref="L2"/>
    </sheetView>
  </sheetViews>
  <sheetFormatPr baseColWidth="10" defaultColWidth="9.140625" defaultRowHeight="15" x14ac:dyDescent="0.25"/>
  <cols>
    <col min="1" max="1" width="18.140625" customWidth="1"/>
    <col min="2" max="2" width="20.140625" customWidth="1"/>
    <col min="3" max="3" width="12.5703125" customWidth="1"/>
    <col min="4" max="4" width="18.28515625" customWidth="1"/>
    <col min="5" max="5" width="12.140625" customWidth="1"/>
    <col min="6" max="6" width="25.28515625" customWidth="1"/>
    <col min="7" max="7" width="49.85546875" customWidth="1"/>
    <col min="8" max="8" width="13.5703125" customWidth="1"/>
    <col min="9" max="9" width="15.42578125" customWidth="1"/>
    <col min="10" max="10" width="8.42578125" customWidth="1"/>
    <col min="11" max="11" width="11.140625" customWidth="1"/>
    <col min="12" max="12" width="43.7109375" customWidth="1"/>
    <col min="13" max="13" width="16.85546875" customWidth="1"/>
    <col min="14" max="14" width="14.7109375" customWidth="1"/>
    <col min="15" max="15" width="27.85546875" customWidth="1"/>
    <col min="16" max="16" width="37.1406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10</v>
      </c>
    </row>
    <row r="2" spans="1:20" ht="75" x14ac:dyDescent="0.25">
      <c r="A2" s="1" t="s">
        <v>14</v>
      </c>
      <c r="B2" s="1">
        <f>Tableau3[[#This Row],[Quantité]]*Tableau3[[#This Row],[Prix unitaire (en crédit)]]</f>
        <v>6</v>
      </c>
      <c r="C2" s="1">
        <f>Tableau3[[#This Row],[Quantité]]*Tableau3[[#This Row],[poid unitaire (kg)]]</f>
        <v>6</v>
      </c>
      <c r="D2" s="1">
        <v>0.1</v>
      </c>
      <c r="E2" s="1">
        <v>60</v>
      </c>
      <c r="F2" s="1">
        <v>0.1</v>
      </c>
      <c r="G2" s="1" t="s">
        <v>31</v>
      </c>
      <c r="H2" s="1" t="s">
        <v>15</v>
      </c>
      <c r="I2" s="1">
        <v>150</v>
      </c>
      <c r="J2" s="1">
        <f>[1]Feuil1!C3</f>
        <v>3</v>
      </c>
      <c r="K2" s="1" t="s">
        <v>16</v>
      </c>
      <c r="L2" s="1" t="s">
        <v>17</v>
      </c>
      <c r="M2" s="1" t="s">
        <v>18</v>
      </c>
      <c r="N2" s="1">
        <v>10</v>
      </c>
      <c r="O2" s="1" t="s">
        <v>19</v>
      </c>
      <c r="P2" s="1" t="s">
        <v>20</v>
      </c>
      <c r="Q2" s="1"/>
      <c r="R2" s="1"/>
      <c r="S2" s="1"/>
      <c r="T2" s="1"/>
    </row>
    <row r="3" spans="1:20" ht="60" x14ac:dyDescent="0.25">
      <c r="A3" s="1" t="str">
        <f>H2</f>
        <v>pistolet 9mm</v>
      </c>
      <c r="B3" s="1">
        <f>Tableau3[[#This Row],[Quantité]]*Tableau3[[#This Row],[Prix unitaire (en crédit)]]</f>
        <v>35</v>
      </c>
      <c r="C3" s="1">
        <f>Tableau3[[#This Row],[Quantité]]*Tableau3[[#This Row],[poid unitaire (kg)]]</f>
        <v>1.5</v>
      </c>
      <c r="D3" s="1">
        <v>1.5</v>
      </c>
      <c r="E3" s="1">
        <v>1</v>
      </c>
      <c r="F3" s="1">
        <v>35</v>
      </c>
      <c r="G3" s="1" t="str">
        <f>L2</f>
        <v>Une arme de point vous permetant de tirer 1 fois par tour pendant 6 tours, au 6eme tour une action est requise pour recharger. Lors d'un critique vous rajoute 1d4 de dégat.</v>
      </c>
      <c r="H3" s="1" t="s">
        <v>21</v>
      </c>
      <c r="I3" s="1">
        <v>5</v>
      </c>
      <c r="J3" s="1">
        <f>[1]Feuil1!C2</f>
        <v>2</v>
      </c>
      <c r="K3" s="1" t="s">
        <v>22</v>
      </c>
      <c r="L3" s="1" t="s">
        <v>23</v>
      </c>
      <c r="M3" s="1"/>
      <c r="N3" s="1"/>
      <c r="O3" s="1"/>
      <c r="P3" s="1"/>
      <c r="Q3" s="1"/>
      <c r="R3" s="1"/>
      <c r="S3" s="1"/>
      <c r="T3" s="1"/>
    </row>
    <row r="4" spans="1:20" ht="30" x14ac:dyDescent="0.25">
      <c r="A4" s="1" t="str">
        <f>H3</f>
        <v>kanife</v>
      </c>
      <c r="B4" s="1">
        <f>Tableau3[[#This Row],[Quantité]]*Tableau3[[#This Row],[Prix unitaire (en crédit)]]</f>
        <v>10</v>
      </c>
      <c r="C4" s="1">
        <f>Tableau3[[#This Row],[Quantité]]*Tableau3[[#This Row],[poid unitaire (kg)]]</f>
        <v>0.5</v>
      </c>
      <c r="D4" s="1">
        <v>0.5</v>
      </c>
      <c r="E4" s="1">
        <v>1</v>
      </c>
      <c r="F4" s="1">
        <v>10</v>
      </c>
      <c r="G4" s="1" t="str">
        <f>L3</f>
        <v>un kanife quoi serieux. Si critique double les dégats,</v>
      </c>
      <c r="H4" s="1" t="s">
        <v>24</v>
      </c>
      <c r="I4" s="1">
        <v>5</v>
      </c>
      <c r="J4" s="1">
        <f>[1]Feuil1!C2</f>
        <v>2</v>
      </c>
      <c r="K4" s="1" t="s">
        <v>25</v>
      </c>
      <c r="L4" s="1" t="s">
        <v>26</v>
      </c>
      <c r="M4" s="1"/>
      <c r="N4" s="1"/>
      <c r="O4" s="1"/>
      <c r="P4" s="1"/>
      <c r="Q4" s="1"/>
      <c r="R4" s="1"/>
      <c r="S4" s="1"/>
      <c r="T4" s="1"/>
    </row>
    <row r="5" spans="1:20" ht="45" x14ac:dyDescent="0.25">
      <c r="A5" s="1" t="str">
        <f>M2</f>
        <v>Habit de travailleur</v>
      </c>
      <c r="B5" s="1">
        <f>Tableau3[[#This Row],[Quantité]]*Tableau3[[#This Row],[Prix unitaire (en crédit)]]</f>
        <v>5</v>
      </c>
      <c r="C5" s="1">
        <f>Tableau3[[#This Row],[Quantité]]*Tableau3[[#This Row],[poid unitaire (kg)]]</f>
        <v>0.8</v>
      </c>
      <c r="D5" s="1">
        <v>0.8</v>
      </c>
      <c r="E5" s="1">
        <v>1</v>
      </c>
      <c r="F5" s="1">
        <v>5</v>
      </c>
      <c r="G5" s="1" t="str" cm="1">
        <f t="array" ref="G5">Tableau5[description]</f>
        <v>habit de travailleur dévoué à son entreprise et prenant à cœur les valeurs de l'entreprise et de l'entraide, remerciez vos patrons de vous l'avoir offert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ht="30" x14ac:dyDescent="0.25">
      <c r="A6" s="1" t="s">
        <v>27</v>
      </c>
      <c r="B6" s="1">
        <f>Tableau3[[#This Row],[Quantité]]*Tableau3[[#This Row],[Prix unitaire (en crédit)]]</f>
        <v>25</v>
      </c>
      <c r="C6" s="1">
        <f>Tableau3[[#This Row],[Quantité]]*Tableau3[[#This Row],[poid unitaire (kg)]]</f>
        <v>1</v>
      </c>
      <c r="D6" s="1">
        <v>1</v>
      </c>
      <c r="E6" s="1">
        <v>1</v>
      </c>
      <c r="F6" s="1">
        <v>25</v>
      </c>
      <c r="G6" s="1" t="s">
        <v>29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25">
      <c r="A7" s="1" t="s">
        <v>28</v>
      </c>
      <c r="B7" s="1">
        <f>Tableau3[[#This Row],[Quantité]]*Tableau3[[#This Row],[Prix unitaire (en crédit)]]</f>
        <v>100</v>
      </c>
      <c r="C7" s="1">
        <f>Tableau3[[#This Row],[Quantité]]*Tableau3[[#This Row],[poid unitaire (kg)]]</f>
        <v>0</v>
      </c>
      <c r="D7" s="1">
        <v>0</v>
      </c>
      <c r="E7" s="1">
        <v>100</v>
      </c>
      <c r="F7" s="1">
        <v>1</v>
      </c>
      <c r="G7" s="1" t="s">
        <v>30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</dc:creator>
  <cp:lastModifiedBy>Killian Belloc</cp:lastModifiedBy>
  <dcterms:created xsi:type="dcterms:W3CDTF">2015-06-05T18:19:34Z</dcterms:created>
  <dcterms:modified xsi:type="dcterms:W3CDTF">2026-02-15T00:33:07Z</dcterms:modified>
</cp:coreProperties>
</file>